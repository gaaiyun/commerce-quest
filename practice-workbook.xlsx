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使用说明" sheetId="1" r:id="rId1"/>
    <sheet name="练习输入" sheetId="2" r:id="rId2"/>
    <sheet name="订单财务" sheetId="3" r:id="rId3"/>
    <sheet name="原始订单" sheetId="4" r:id="rId4"/>
    <sheet name="商品成本" sheetId="5" r:id="rId5"/>
    <sheet name="客户分析" sheetId="6" r:id="rId6"/>
    <sheet name="广告日报" sheetId="7" r:id="rId7"/>
    <sheet name="现金流水" sheetId="8" r:id="rId8"/>
    <sheet name="原始导入" sheetId="9" r:id="rId9"/>
    <sheet name="任务" sheetId="10" r:id="rId10"/>
    <sheet name="参考答案" sheetId="11" r:id="rId11"/>
  </sheets>
  <definedNames>
    <definedName name="_xlnm._FilterDatabase" localSheetId="9" hidden="1">任务!$A$1:$E$31</definedName>
    <definedName name="_xlnm._FilterDatabase" localSheetId="8" hidden="1">原始导入!$A$1:$D$6</definedName>
    <definedName name="_xlnm._FilterDatabase" localSheetId="3" hidden="1">原始订单!$A$1:$E$241</definedName>
    <definedName name="_xlnm._FilterDatabase" localSheetId="10" hidden="1">参考答案!$A$1:$G$31</definedName>
    <definedName name="_xlnm._FilterDatabase" localSheetId="4" hidden="1">商品成本!$A$1:$F$49</definedName>
    <definedName name="_xlnm._FilterDatabase" localSheetId="5" hidden="1">客户分析!$A$1:$E$61</definedName>
    <definedName name="_xlnm._FilterDatabase" localSheetId="6" hidden="1">广告日报!$A$1:$G$181</definedName>
    <definedName name="_xlnm._FilterDatabase" localSheetId="7" hidden="1">现金流水!$A$1:$C$673</definedName>
    <definedName name="_xlnm._FilterDatabase" localSheetId="1" hidden="1">练习输入!$A$1:$S$9</definedName>
    <definedName name="_xlnm._FilterDatabase" localSheetId="2" hidden="1">订单财务!$A$1:$O$199</definedName>
    <definedName name="_xlnm.Print_Titles" localSheetId="10">参考答案!$1:$1</definedName>
  </definedNames>
  <calcPr calcId="124519" fullCalcOnLoad="1"/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<sst xmlns="http://schemas.openxmlformats.org/spreadsheetml/2006/main" count="3215" uniqueCount="715">
  <si>
    <t>用途</t>
  </si>
  <si>
    <t>可复算的运营与BA Excel练习；所有数据为原创虚构教学数据。</t>
  </si>
  <si>
    <t>重要口径</t>
  </si>
  <si>
    <t>金额在此表以元展示；SQLite以分存储。订单财务采用截至2026-09-30退款归回原订单的分析口径。</t>
  </si>
  <si>
    <t>练习方式</t>
  </si>
  <si>
    <t>先在任务页填写公式或操作，再对照参考答案；参考答案的公式与数值可以用原生Excel或LibreOffice重算。</t>
  </si>
  <si>
    <t>数据边界</t>
  </si>
  <si>
    <t>库存、广告归因、流量为独立练习快照，尚未构成校准后的经营仿真或因果模型。</t>
  </si>
  <si>
    <t>工具边界</t>
  </si>
  <si>
    <t>24个公式样例可重算；6个界面/Power Query任务提供操作与验收条件，不冒称已经完成界面实测。</t>
  </si>
  <si>
    <t>当前日期</t>
  </si>
  <si>
    <t>2026-10-17；模拟业务观察截止2026-09-30。</t>
  </si>
  <si>
    <t>SKU</t>
  </si>
  <si>
    <t>数量</t>
  </si>
  <si>
    <t>单价元</t>
  </si>
  <si>
    <t>折扣元</t>
  </si>
  <si>
    <t>单位成本元</t>
  </si>
  <si>
    <t>佣金率</t>
  </si>
  <si>
    <t>履约费元</t>
  </si>
  <si>
    <t>点击</t>
  </si>
  <si>
    <t>曝光</t>
  </si>
  <si>
    <t>广告费元</t>
  </si>
  <si>
    <t>归因销售元</t>
  </si>
  <si>
    <t>未分配可售量</t>
  </si>
  <si>
    <t>日预测</t>
  </si>
  <si>
    <t>交期天</t>
  </si>
  <si>
    <t>安全库存</t>
  </si>
  <si>
    <t>MOQ</t>
  </si>
  <si>
    <t>在途</t>
  </si>
  <si>
    <t>待清理SKU</t>
  </si>
  <si>
    <t>文本日期</t>
  </si>
  <si>
    <t>SKU001</t>
  </si>
  <si>
    <t xml:space="preserve">  SKU001  </t>
  </si>
  <si>
    <t>2026-09-15</t>
  </si>
  <si>
    <t>SKU002</t>
  </si>
  <si>
    <t xml:space="preserve">  SKU002  </t>
  </si>
  <si>
    <t>SKU003</t>
  </si>
  <si>
    <t xml:space="preserve">  SKU003  </t>
  </si>
  <si>
    <t>SKU025</t>
  </si>
  <si>
    <t xml:space="preserve">  SKU025  </t>
  </si>
  <si>
    <t>SKU026</t>
  </si>
  <si>
    <t xml:space="preserve">  SKU026  </t>
  </si>
  <si>
    <t>SKU037</t>
  </si>
  <si>
    <t xml:space="preserve">  SKU037  </t>
  </si>
  <si>
    <t>SKU038</t>
  </si>
  <si>
    <t xml:space="preserve">  SKU038  </t>
  </si>
  <si>
    <t>SKU039</t>
  </si>
  <si>
    <t xml:space="preserve">  SKU039  </t>
  </si>
  <si>
    <t>订单ID</t>
  </si>
  <si>
    <t>日期</t>
  </si>
  <si>
    <t>渠道</t>
  </si>
  <si>
    <t>净商品收入</t>
  </si>
  <si>
    <t>原COGS</t>
  </si>
  <si>
    <t>成本回收</t>
  </si>
  <si>
    <t>佣金</t>
  </si>
  <si>
    <t>履约费</t>
  </si>
  <si>
    <t>售后费</t>
  </si>
  <si>
    <t>广告前贡献</t>
  </si>
  <si>
    <t>折扣</t>
  </si>
  <si>
    <t>折后退款前金额</t>
  </si>
  <si>
    <t>退款</t>
  </si>
  <si>
    <t>件数</t>
  </si>
  <si>
    <t>客户ID</t>
  </si>
  <si>
    <t>ORD0001</t>
  </si>
  <si>
    <t>AMZ</t>
  </si>
  <si>
    <t>CUS012</t>
  </si>
  <si>
    <t>ORD0002</t>
  </si>
  <si>
    <t>STORE</t>
  </si>
  <si>
    <t>CUS023</t>
  </si>
  <si>
    <t>ORD0004</t>
  </si>
  <si>
    <t>CN</t>
  </si>
  <si>
    <t>CUS045</t>
  </si>
  <si>
    <t>ORD0005</t>
  </si>
  <si>
    <t>CUS056</t>
  </si>
  <si>
    <t>ORD0006</t>
  </si>
  <si>
    <t>CUS007</t>
  </si>
  <si>
    <t>ORD0007</t>
  </si>
  <si>
    <t>B2B</t>
  </si>
  <si>
    <t>CUS018</t>
  </si>
  <si>
    <t>ORD0008</t>
  </si>
  <si>
    <t>CUS029</t>
  </si>
  <si>
    <t>ORD0009</t>
  </si>
  <si>
    <t>CUS040</t>
  </si>
  <si>
    <t>ORD0010</t>
  </si>
  <si>
    <t>CUS051</t>
  </si>
  <si>
    <t>ORD0011</t>
  </si>
  <si>
    <t>CUS002</t>
  </si>
  <si>
    <t>ORD0012</t>
  </si>
  <si>
    <t>CUS013</t>
  </si>
  <si>
    <t>ORD0013</t>
  </si>
  <si>
    <t>CUS024</t>
  </si>
  <si>
    <t>ORD0014</t>
  </si>
  <si>
    <t>CUS035</t>
  </si>
  <si>
    <t>ORD0015</t>
  </si>
  <si>
    <t>CUS046</t>
  </si>
  <si>
    <t>ORD0016</t>
  </si>
  <si>
    <t>CUS057</t>
  </si>
  <si>
    <t>ORD0017</t>
  </si>
  <si>
    <t>CUS008</t>
  </si>
  <si>
    <t>ORD0018</t>
  </si>
  <si>
    <t>CUS019</t>
  </si>
  <si>
    <t>ORD0019</t>
  </si>
  <si>
    <t>CUS030</t>
  </si>
  <si>
    <t>ORD0021</t>
  </si>
  <si>
    <t>CUS052</t>
  </si>
  <si>
    <t>ORD0022</t>
  </si>
  <si>
    <t>CUS003</t>
  </si>
  <si>
    <t>ORD0023</t>
  </si>
  <si>
    <t>CUS014</t>
  </si>
  <si>
    <t>ORD0025</t>
  </si>
  <si>
    <t>CUS036</t>
  </si>
  <si>
    <t>ORD0026</t>
  </si>
  <si>
    <t>CUS047</t>
  </si>
  <si>
    <t>ORD0027</t>
  </si>
  <si>
    <t>CUS058</t>
  </si>
  <si>
    <t>ORD0028</t>
  </si>
  <si>
    <t>CUS009</t>
  </si>
  <si>
    <t>ORD0029</t>
  </si>
  <si>
    <t>CUS020</t>
  </si>
  <si>
    <t>ORD0030</t>
  </si>
  <si>
    <t>CUS031</t>
  </si>
  <si>
    <t>ORD0031</t>
  </si>
  <si>
    <t>CUS042</t>
  </si>
  <si>
    <t>ORD0033</t>
  </si>
  <si>
    <t>CUS004</t>
  </si>
  <si>
    <t>ORD0034</t>
  </si>
  <si>
    <t>CUS015</t>
  </si>
  <si>
    <t>ORD0036</t>
  </si>
  <si>
    <t>CUS037</t>
  </si>
  <si>
    <t>ORD0038</t>
  </si>
  <si>
    <t>CUS059</t>
  </si>
  <si>
    <t>ORD0039</t>
  </si>
  <si>
    <t>CUS010</t>
  </si>
  <si>
    <t>ORD0040</t>
  </si>
  <si>
    <t>CUS021</t>
  </si>
  <si>
    <t>ORD0041</t>
  </si>
  <si>
    <t>CUS032</t>
  </si>
  <si>
    <t>ORD0042</t>
  </si>
  <si>
    <t>CUS043</t>
  </si>
  <si>
    <t>ORD0043</t>
  </si>
  <si>
    <t>CUS054</t>
  </si>
  <si>
    <t>ORD0044</t>
  </si>
  <si>
    <t>CUS005</t>
  </si>
  <si>
    <t>ORD0045</t>
  </si>
  <si>
    <t>CUS016</t>
  </si>
  <si>
    <t>ORD0046</t>
  </si>
  <si>
    <t>CUS027</t>
  </si>
  <si>
    <t>ORD0047</t>
  </si>
  <si>
    <t>CUS038</t>
  </si>
  <si>
    <t>ORD0048</t>
  </si>
  <si>
    <t>CUS049</t>
  </si>
  <si>
    <t>ORD0049</t>
  </si>
  <si>
    <t>CUS060</t>
  </si>
  <si>
    <t>ORD0051</t>
  </si>
  <si>
    <t>CUS022</t>
  </si>
  <si>
    <t>ORD0052</t>
  </si>
  <si>
    <t>CUS033</t>
  </si>
  <si>
    <t>ORD0053</t>
  </si>
  <si>
    <t>CUS044</t>
  </si>
  <si>
    <t>ORD0056</t>
  </si>
  <si>
    <t>CUS017</t>
  </si>
  <si>
    <t>ORD0058</t>
  </si>
  <si>
    <t>CUS039</t>
  </si>
  <si>
    <t>ORD0059</t>
  </si>
  <si>
    <t>CUS050</t>
  </si>
  <si>
    <t>ORD0060</t>
  </si>
  <si>
    <t>CUS001</t>
  </si>
  <si>
    <t>ORD0061</t>
  </si>
  <si>
    <t>ORD0062</t>
  </si>
  <si>
    <t>ORD0063</t>
  </si>
  <si>
    <t>CUS034</t>
  </si>
  <si>
    <t>ORD0064</t>
  </si>
  <si>
    <t>ORD0065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</si>
  <si>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</si>
  <si>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</si>
  <si>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</si>
  <si>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</si>
  <si>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</si>
  <si>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</si>
  <si>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</si>
  <si>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</si>
  <si>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</si>
  <si>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</si>
  <si>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ORD0079</t>
  </si>
  <si>
    <t>ORD0080</t>
  </si>
  <si>
    <t>CUS041</t>
  </si>
  <si>
    <t>ORD0081</t>
  </si>
  <si>
    <t>ORD0082</t>
  </si>
  <si>
    <t>ORD0084</t>
  </si>
  <si>
    <t>CUS025</t>
  </si>
  <si>
    <t>ORD0085</t>
  </si>
  <si>
    <t>ORD0086</t>
  </si>
  <si>
    <t>ORD0087</t>
  </si>
  <si>
    <t>ORD0089</t>
  </si>
  <si>
    <t>ORD0090</t>
  </si>
  <si>
    <t>ORD0091</t>
  </si>
  <si>
    <t>ORD0092</t>
  </si>
  <si>
    <t>CUS053</t>
  </si>
  <si>
    <t>ORD0093</t>
  </si>
  <si>
    <t>ORD0094</t>
  </si>
  <si>
    <t>ORD0095</t>
  </si>
  <si>
    <t>CUS026</t>
  </si>
  <si>
    <t>ORD0096</t>
  </si>
  <si>
    <t>ORD0097</t>
  </si>
  <si>
    <t>CUS048</t>
  </si>
  <si>
    <t>ORD0098</t>
  </si>
  <si>
    <t>ORD0100</t>
  </si>
  <si>
    <t>ORD0101</t>
  </si>
  <si>
    <t>ORD0102</t>
  </si>
  <si>
    <t>ORD0105</t>
  </si>
  <si>
    <t>ORD0106</t>
  </si>
  <si>
    <t>ORD0107</t>
  </si>
  <si>
    <t>ORD0108</t>
  </si>
  <si>
    <t>ORD0109</t>
  </si>
  <si>
    <t>ORD0112</t>
  </si>
  <si>
    <t>ORD0113</t>
  </si>
  <si>
    <t>ORD0114</t>
  </si>
  <si>
    <t>CUS055</t>
  </si>
  <si>
    <t>ORD0115</t>
  </si>
  <si>
    <t>CUS006</t>
  </si>
  <si>
    <t>ORD0116</t>
  </si>
  <si>
    <t>ORD0117</t>
  </si>
  <si>
    <t>CUS028</t>
  </si>
  <si>
    <t>ORD0118</t>
  </si>
  <si>
    <t>ORD0119</t>
  </si>
  <si>
    <t>ORD0120</t>
  </si>
  <si>
    <t>ORD0121</t>
  </si>
  <si>
    <t>ORD0122</t>
  </si>
  <si>
    <t>ORD0123</t>
  </si>
  <si>
    <t>ORD0126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</si>
  <si>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</si>
  <si>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</si>
  <si>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</si>
  <si>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</si>
  <si>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</si>
  <si>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</si>
  <si>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</si>
  <si>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</si>
  <si>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</si>
  <si>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</si>
  <si>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</si>
  <si>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</si>
  <si>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</si>
  <si>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</si>
  <si>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</si>
  <si>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</si>
  <si>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</si>
  <si>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</si>
  <si>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</si>
  <si>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ORD0148</t>
  </si>
  <si>
    <t>ORD0149</t>
  </si>
  <si>
    <t>ORD0150</t>
  </si>
  <si>
    <t>ORD0151</t>
  </si>
  <si>
    <t>ORD0152</t>
  </si>
  <si>
    <t>ORD0153</t>
  </si>
  <si>
    <t>ORD0154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</si>
  <si>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</si>
  <si>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</si>
  <si>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</si>
  <si>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</si>
  <si>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</si>
  <si>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</si>
  <si>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</si>
  <si>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</si>
  <si>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</si>
  <si>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</si>
  <si>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</si>
  <si>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ORD0168</t>
  </si>
  <si>
    <t>ORD0169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</si>
  <si>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</si>
  <si>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</si>
  <si>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</si>
  <si>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</si>
  <si>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</si>
  <si>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</si>
  <si>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</si>
  <si>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</si>
  <si>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</si>
  <si>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ORD0181</t>
  </si>
  <si>
    <t>ORD0182</t>
  </si>
  <si>
    <t>ORD0183</t>
  </si>
  <si>
    <t>ORD0184</t>
  </si>
  <si>
    <t>ORD0186</t>
  </si>
  <si>
    <t>ORD0187</t>
  </si>
  <si>
    <t>ORD0188</t>
  </si>
  <si>
    <t>ORD0189</t>
  </si>
  <si>
    <t>ORD0190</t>
  </si>
  <si>
    <t>ORD0191</t>
  </si>
  <si>
    <t>ORD0194</t>
  </si>
  <si>
    <t>ORD0195</t>
  </si>
  <si>
    <t>ORD0197</t>
  </si>
  <si>
    <t>ORD0199</t>
  </si>
  <si>
    <t>ORD0200</t>
  </si>
  <si>
    <t>ORD0202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</si>
  <si>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</si>
  <si>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</si>
  <si>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</si>
  <si>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</si>
  <si>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</si>
  <si>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</si>
  <si>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</si>
  <si>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</si>
  <si>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</si>
  <si>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</si>
  <si>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</si>
  <si>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</si>
  <si>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ORD0217</t>
  </si>
  <si>
    <t>ORD0219</t>
  </si>
  <si>
    <t>ORD0221</t>
  </si>
  <si>
    <t>ORD0222</t>
  </si>
  <si>
    <t>ORD0223</t>
  </si>
  <si>
    <t>ORD0224</t>
  </si>
  <si>
    <t>ORD0225</t>
  </si>
  <si>
    <t>ORD0226</t>
  </si>
  <si>
    <t>ORD0228</t>
  </si>
  <si>
    <t>ORD0229</t>
  </si>
  <si>
    <t>ORD0230</t>
  </si>
  <si>
    <t>CUS011</t>
  </si>
  <si>
    <t>ORD0231</t>
  </si>
  <si>
    <t>ORD0232</t>
  </si>
  <si>
    <t>ORD0233</t>
  </si>
  <si>
    <t>ORD0234</t>
  </si>
  <si>
    <t>ORD0237</t>
  </si>
  <si>
    <t>ORD0238</t>
  </si>
  <si>
    <t>ORD0240</t>
  </si>
  <si>
    <t>order_id</t>
  </si>
  <si>
    <t>order_date</t>
  </si>
  <si>
    <t>channel_id</t>
  </si>
  <si>
    <t>status</t>
  </si>
  <si>
    <t>customer_id</t>
  </si>
  <si>
    <t>2026-07-08</t>
  </si>
  <si>
    <t>completed</t>
  </si>
  <si>
    <t>2026-07-15</t>
  </si>
  <si>
    <t>ORD0003</t>
  </si>
  <si>
    <t>2026-07-22</t>
  </si>
  <si>
    <t>cancelled</t>
  </si>
  <si>
    <t>2026-07-29</t>
  </si>
  <si>
    <t>2026-08-05</t>
  </si>
  <si>
    <t>2026-08-12</t>
  </si>
  <si>
    <t>paid</t>
  </si>
  <si>
    <t>2026-08-19</t>
  </si>
  <si>
    <t>2026-08-26</t>
  </si>
  <si>
    <t>2026-09-02</t>
  </si>
  <si>
    <t>2026-09-09</t>
  </si>
  <si>
    <t>2026-09-16</t>
  </si>
  <si>
    <t>2026-09-23</t>
  </si>
  <si>
    <t>2026-09-30</t>
  </si>
  <si>
    <t>2026-07-07</t>
  </si>
  <si>
    <t>2026-07-14</t>
  </si>
  <si>
    <t>2026-07-21</t>
  </si>
  <si>
    <t>2026-07-28</t>
  </si>
  <si>
    <t>2026-08-04</t>
  </si>
  <si>
    <t>2026-08-11</t>
  </si>
  <si>
    <t>ORD0020</t>
  </si>
  <si>
    <t>2026-08-18</t>
  </si>
  <si>
    <t>2026-08-25</t>
  </si>
  <si>
    <t>2026-09-01</t>
  </si>
  <si>
    <t>2026-09-08</t>
  </si>
  <si>
    <t>ORD0024</t>
  </si>
  <si>
    <t>2026-09-22</t>
  </si>
  <si>
    <t>2026-09-29</t>
  </si>
  <si>
    <t>2026-07-06</t>
  </si>
  <si>
    <t>delivered</t>
  </si>
  <si>
    <t>2026-07-13</t>
  </si>
  <si>
    <t>2026-07-20</t>
  </si>
  <si>
    <t>2026-07-27</t>
  </si>
  <si>
    <t>2026-08-03</t>
  </si>
  <si>
    <t>ORD0032</t>
  </si>
  <si>
    <t>2026-08-10</t>
  </si>
  <si>
    <t>2026-08-17</t>
  </si>
  <si>
    <t>2026-08-24</t>
  </si>
  <si>
    <t>shipped</t>
  </si>
  <si>
    <t>ORD0035</t>
  </si>
  <si>
    <t>2026-08-31</t>
  </si>
  <si>
    <t>unpaid</t>
  </si>
  <si>
    <t>2026-09-07</t>
  </si>
  <si>
    <t>ORD0037</t>
  </si>
  <si>
    <t>2026-09-14</t>
  </si>
  <si>
    <t>2026-09-21</t>
  </si>
  <si>
    <t>2026-09-28</t>
  </si>
  <si>
    <t>2026-07-05</t>
  </si>
  <si>
    <t>2026-07-12</t>
  </si>
  <si>
    <t>2026-07-19</t>
  </si>
  <si>
    <t>2026-07-26</t>
  </si>
  <si>
    <t>2026-08-02</t>
  </si>
  <si>
    <t>2026-08-09</t>
  </si>
  <si>
    <t>2026-08-16</t>
  </si>
  <si>
    <t>2026-08-23</t>
  </si>
  <si>
    <t>2026-08-30</t>
  </si>
  <si>
    <t>2026-09-06</t>
  </si>
  <si>
    <t>ORD0050</t>
  </si>
  <si>
    <t>2026-09-13</t>
  </si>
  <si>
    <t>2026-09-20</t>
  </si>
  <si>
    <t>2026-09-27</t>
  </si>
  <si>
    <t>2026-07-04</t>
  </si>
  <si>
    <t>ORD0054</t>
  </si>
  <si>
    <t>2026-07-11</t>
  </si>
  <si>
    <t>ORD0055</t>
  </si>
  <si>
    <t>2026-07-18</t>
  </si>
  <si>
    <t>2026-07-25</t>
  </si>
  <si>
    <t>ORD0057</t>
  </si>
  <si>
    <t>2026-08-01</t>
  </si>
  <si>
    <t>2026-08-08</t>
  </si>
  <si>
    <t>2026-08-15</t>
  </si>
  <si>
    <t>2026-08-22</t>
  </si>
  <si>
    <t>2026-08-29</t>
  </si>
  <si>
    <t>2026-09-05</t>
  </si>
  <si>
    <t>2026-09-12</t>
  </si>
  <si>
    <t>2026-09-19</t>
  </si>
  <si>
    <t>2026-09-26</t>
  </si>
  <si>
    <t>ORD0066</t>
  </si>
  <si>
    <t>2026-07-03</t>
  </si>
  <si>
    <t>ORD0067</t>
  </si>
  <si>
    <t>2026-07-10</t>
  </si>
  <si>
    <t>2026-07-17</t>
  </si>
  <si>
    <t>2026-07-24</t>
  </si>
  <si>
    <t>2026-07-31</t>
  </si>
  <si>
    <t>2026-08-07</t>
  </si>
  <si>
    <t>2026-08-14</t>
  </si>
  <si>
    <t>2026-08-21</t>
  </si>
  <si>
    <t>2026-08-28</t>
  </si>
  <si>
    <t>2026-09-04</t>
  </si>
  <si>
    <t>2026-09-11</t>
  </si>
  <si>
    <t>2026-09-18</t>
  </si>
  <si>
    <t>ORD0078</t>
  </si>
  <si>
    <t>2026-09-25</t>
  </si>
  <si>
    <t>2026-07-02</t>
  </si>
  <si>
    <t>2026-07-09</t>
  </si>
  <si>
    <t>2026-07-16</t>
  </si>
  <si>
    <t>2026-07-23</t>
  </si>
  <si>
    <t>ORD0083</t>
  </si>
  <si>
    <t>2026-07-30</t>
  </si>
  <si>
    <t>2026-08-06</t>
  </si>
  <si>
    <t>2026-08-13</t>
  </si>
  <si>
    <t>2026-08-20</t>
  </si>
  <si>
    <t>2026-08-27</t>
  </si>
  <si>
    <t>ORD0088</t>
  </si>
  <si>
    <t>2026-09-03</t>
  </si>
  <si>
    <t>2026-09-10</t>
  </si>
  <si>
    <t>2026-09-17</t>
  </si>
  <si>
    <t>2026-09-24</t>
  </si>
  <si>
    <t>2026-07-01</t>
  </si>
  <si>
    <t>ORD0099</t>
  </si>
  <si>
    <t>ORD0103</t>
  </si>
  <si>
    <t>ORD0104</t>
  </si>
  <si>
    <t>ORD0110</t>
  </si>
  <si>
    <t>ORD0111</t>
  </si>
  <si>
    <t>ORD0124</t>
  </si>
  <si>
    <t>ORD0125</t>
  </si>
  <si>
    <t>ORD0127</t>
  </si>
  <si>
    <t>ORD0147</t>
  </si>
  <si>
    <t>ORD0155</t>
  </si>
  <si>
    <t>ORD0167</t>
  </si>
  <si>
    <t>ORD0170</t>
  </si>
  <si>
    <t>ORD0180</t>
  </si>
  <si>
    <t>ORD0185</t>
  </si>
  <si>
    <t>ORD0192</t>
  </si>
  <si>
    <t>ORD0193</t>
  </si>
  <si>
    <t>ORD0196</t>
  </si>
  <si>
    <t>ORD0198</t>
  </si>
  <si>
    <t>ORD0201</t>
  </si>
  <si>
    <t>ORD0215</t>
  </si>
  <si>
    <t>ORD0216</t>
  </si>
  <si>
    <t>ORD0218</t>
  </si>
  <si>
    <t>ORD0220</t>
  </si>
  <si>
    <t>ORD0227</t>
  </si>
  <si>
    <t>ORD0235</t>
  </si>
  <si>
    <t>ORD0236</t>
  </si>
  <si>
    <t>ORD0239</t>
  </si>
  <si>
    <t>商品名</t>
  </si>
  <si>
    <t>品类</t>
  </si>
  <si>
    <t>单位成本</t>
  </si>
  <si>
    <t>标价</t>
  </si>
  <si>
    <t>重量kg</t>
  </si>
  <si>
    <t>清洁喷雾教学型号01</t>
  </si>
  <si>
    <t>FMCG</t>
  </si>
  <si>
    <t>纸巾教学型号02</t>
  </si>
  <si>
    <t>洗衣液教学型号03</t>
  </si>
  <si>
    <t>SKU004</t>
  </si>
  <si>
    <t>洗手液教学型号04</t>
  </si>
  <si>
    <t>SKU005</t>
  </si>
  <si>
    <t>厨房湿巾教学型号05</t>
  </si>
  <si>
    <t>SKU006</t>
  </si>
  <si>
    <t>浴室清洁剂教学型号06</t>
  </si>
  <si>
    <t>SKU007</t>
  </si>
  <si>
    <t>清洁喷雾教学型号07</t>
  </si>
  <si>
    <t>SKU008</t>
  </si>
  <si>
    <t>纸巾教学型号08</t>
  </si>
  <si>
    <t>SKU009</t>
  </si>
  <si>
    <t>洗衣液教学型号09</t>
  </si>
  <si>
    <t>SKU010</t>
  </si>
  <si>
    <t>洗手液教学型号10</t>
  </si>
  <si>
    <t>SKU011</t>
  </si>
  <si>
    <t>厨房湿巾教学型号11</t>
  </si>
  <si>
    <t>SKU012</t>
  </si>
  <si>
    <t>浴室清洁剂教学型号12</t>
  </si>
  <si>
    <t>SKU013</t>
  </si>
  <si>
    <t>清洁喷雾教学型号13</t>
  </si>
  <si>
    <t>SKU014</t>
  </si>
  <si>
    <t>纸巾教学型号14</t>
  </si>
  <si>
    <t>SKU015</t>
  </si>
  <si>
    <t>洗衣液教学型号15</t>
  </si>
  <si>
    <t>SKU016</t>
  </si>
  <si>
    <t>洗手液教学型号16</t>
  </si>
  <si>
    <t>SKU017</t>
  </si>
  <si>
    <t>厨房湿巾教学型号17</t>
  </si>
  <si>
    <t>SKU018</t>
  </si>
  <si>
    <t>浴室清洁剂教学型号18</t>
  </si>
  <si>
    <t>SKU019</t>
  </si>
  <si>
    <t>清洁喷雾教学型号19</t>
  </si>
  <si>
    <t>SKU020</t>
  </si>
  <si>
    <t>纸巾教学型号20</t>
  </si>
  <si>
    <t>SKU021</t>
  </si>
  <si>
    <t>洗衣液教学型号21</t>
  </si>
  <si>
    <t>SKU022</t>
  </si>
  <si>
    <t>洗手液教学型号22</t>
  </si>
  <si>
    <t>SKU023</t>
  </si>
  <si>
    <t>厨房湿巾教学型号23</t>
  </si>
  <si>
    <t>SKU024</t>
  </si>
  <si>
    <t>浴室清洁剂教学型号24</t>
  </si>
  <si>
    <t>空气净化器教学型号25</t>
  </si>
  <si>
    <t>APPLIANCE</t>
  </si>
  <si>
    <t>咖啡机教学型号26</t>
  </si>
  <si>
    <t>SKU027</t>
  </si>
  <si>
    <t>吸尘器教学型号27</t>
  </si>
  <si>
    <t>SKU028</t>
  </si>
  <si>
    <t>电风扇教学型号28</t>
  </si>
  <si>
    <t>SKU029</t>
  </si>
  <si>
    <t>加湿器教学型号29</t>
  </si>
  <si>
    <t>SKU030</t>
  </si>
  <si>
    <t>电水壶教学型号30</t>
  </si>
  <si>
    <t>SKU031</t>
  </si>
  <si>
    <t>空气净化器教学型号31</t>
  </si>
  <si>
    <t>SKU032</t>
  </si>
  <si>
    <t>咖啡机教学型号32</t>
  </si>
  <si>
    <t>SKU033</t>
  </si>
  <si>
    <t>吸尘器教学型号33</t>
  </si>
  <si>
    <t>SKU034</t>
  </si>
  <si>
    <t>电风扇教学型号34</t>
  </si>
  <si>
    <t>SKU035</t>
  </si>
  <si>
    <t>加湿器教学型号35</t>
  </si>
  <si>
    <t>SKU036</t>
  </si>
  <si>
    <t>电水壶教学型号36</t>
  </si>
  <si>
    <t>收纳柜教学型号37</t>
  </si>
  <si>
    <t>FURNITURE</t>
  </si>
  <si>
    <t>书架教学型号38</t>
  </si>
  <si>
    <t>边桌教学型号39</t>
  </si>
  <si>
    <t>SKU040</t>
  </si>
  <si>
    <t>书桌教学型号40</t>
  </si>
  <si>
    <t>SKU041</t>
  </si>
  <si>
    <t>餐椅教学型号41</t>
  </si>
  <si>
    <t>SKU042</t>
  </si>
  <si>
    <t>沙发教学型号42</t>
  </si>
  <si>
    <t>SKU043</t>
  </si>
  <si>
    <t>收纳柜教学型号43</t>
  </si>
  <si>
    <t>SKU044</t>
  </si>
  <si>
    <t>书架教学型号44</t>
  </si>
  <si>
    <t>SKU045</t>
  </si>
  <si>
    <t>边桌教学型号45</t>
  </si>
  <si>
    <t>SKU046</t>
  </si>
  <si>
    <t>书桌教学型号46</t>
  </si>
  <si>
    <t>SKU047</t>
  </si>
  <si>
    <t>餐椅教学型号47</t>
  </si>
  <si>
    <t>SKU048</t>
  </si>
  <si>
    <t>沙发教学型号48</t>
  </si>
  <si>
    <t>距最近购买天数</t>
  </si>
  <si>
    <t>购买次数</t>
  </si>
  <si>
    <t>观察期净收入</t>
  </si>
  <si>
    <t>首购日期</t>
  </si>
  <si>
    <t>计划</t>
  </si>
  <si>
    <t>花费</t>
  </si>
  <si>
    <t>归因订单</t>
  </si>
  <si>
    <t>归因销售</t>
  </si>
  <si>
    <t>CAM01</t>
  </si>
  <si>
    <t>CAM02</t>
  </si>
  <si>
    <t>CAM03</t>
  </si>
  <si>
    <t>CAM04</t>
  </si>
  <si>
    <t>CAM05</t>
  </si>
  <si>
    <t>CAM06</t>
  </si>
  <si>
    <t>类型</t>
  </si>
  <si>
    <t>收付金额</t>
  </si>
  <si>
    <t>履约支出</t>
  </si>
  <si>
    <t>平台回款</t>
  </si>
  <si>
    <t>商品退款</t>
  </si>
  <si>
    <t>售后处理支出</t>
  </si>
  <si>
    <t>广告支出</t>
  </si>
  <si>
    <t>采购付款</t>
  </si>
  <si>
    <t>import_id</t>
  </si>
  <si>
    <t>business_key</t>
  </si>
  <si>
    <t>updated_at</t>
  </si>
  <si>
    <t>amount_cents</t>
  </si>
  <si>
    <t>IMP01</t>
  </si>
  <si>
    <t>BIZ01</t>
  </si>
  <si>
    <t>2026-09-10 10:00:00</t>
  </si>
  <si>
    <t>IMP02</t>
  </si>
  <si>
    <t>2026-09-10 11:00:00</t>
  </si>
  <si>
    <t>IMP03</t>
  </si>
  <si>
    <t>BIZ02</t>
  </si>
  <si>
    <t>IMP04</t>
  </si>
  <si>
    <t>BIZ03</t>
  </si>
  <si>
    <t>IMP05</t>
  </si>
  <si>
    <t>2026-09-10 12:00:00</t>
  </si>
  <si>
    <t>ID</t>
  </si>
  <si>
    <t>任务</t>
  </si>
  <si>
    <t>题目</t>
  </si>
  <si>
    <t>方式</t>
  </si>
  <si>
    <t>请填写公式或操作记录</t>
  </si>
  <si>
    <t>EX01</t>
  </si>
  <si>
    <t>销售金额</t>
  </si>
  <si>
    <t>计算首行数量乘单价。</t>
  </si>
  <si>
    <t>公式实操</t>
  </si>
  <si>
    <t>EX02</t>
  </si>
  <si>
    <t>折后商品金额</t>
  </si>
  <si>
    <t>扣除给定商品折扣。</t>
  </si>
  <si>
    <t>EX03</t>
  </si>
  <si>
    <t>扣商品成本、给定佣金和履约费；无其他费用。</t>
  </si>
  <si>
    <t>EX04</t>
  </si>
  <si>
    <t>毛利率</t>
  </si>
  <si>
    <t>按折后商品收入计算毛利率，0分母返回0作为此题约定。</t>
  </si>
  <si>
    <t>EX05</t>
  </si>
  <si>
    <t>绝对引用费率</t>
  </si>
  <si>
    <t>对第二条输入应用固定F2佣金率，练习锁定引用。</t>
  </si>
  <si>
    <t>EX06</t>
  </si>
  <si>
    <t>条件提示</t>
  </si>
  <si>
    <t>此题只检查当前可售是否低于交期需求加安全库存，不作为最终采购建议。</t>
  </si>
  <si>
    <t>EX07</t>
  </si>
  <si>
    <t>ROAS</t>
  </si>
  <si>
    <t>用给定归因销售除广告费。</t>
  </si>
  <si>
    <t>EX08</t>
  </si>
  <si>
    <t>SUMIF渠道收入</t>
  </si>
  <si>
    <t>汇总CN渠道净商品收入。</t>
  </si>
  <si>
    <t>EX09</t>
  </si>
  <si>
    <t>SUMIFS期间渠道</t>
  </si>
  <si>
    <t>汇总9月AMZ渠道净商品收入。</t>
  </si>
  <si>
    <t>EX10</t>
  </si>
  <si>
    <t>COUNTIF取消单</t>
  </si>
  <si>
    <t>统计原始订单cancelled数量。</t>
  </si>
  <si>
    <t>EX11</t>
  </si>
  <si>
    <t>COUNTIFS渠道状态</t>
  </si>
  <si>
    <t>统计CN且completed的订单。</t>
  </si>
  <si>
    <t>EX12</t>
  </si>
  <si>
    <t>XLOOKUP成本</t>
  </si>
  <si>
    <t>按输入SKU匹配商品成本；未知SKU返回待核对。</t>
  </si>
  <si>
    <t>EX13</t>
  </si>
  <si>
    <t>VLOOKUP对照</t>
  </si>
  <si>
    <t>以精确匹配完成同一成本查找。</t>
  </si>
  <si>
    <t>EX14</t>
  </si>
  <si>
    <t>重复键检查</t>
  </si>
  <si>
    <t>检查原始导入BIZ01出现次数。</t>
  </si>
  <si>
    <t>EX15</t>
  </si>
  <si>
    <t>TRIM清理</t>
  </si>
  <si>
    <t>清理输入SKU两端空格，保留原列。</t>
  </si>
  <si>
    <t>EX16</t>
  </si>
  <si>
    <t>日期标准化</t>
  </si>
  <si>
    <t>将输入文本日期转成yyyy-mm月份标签。</t>
  </si>
  <si>
    <t>EX17</t>
  </si>
  <si>
    <t>RFM近度标签</t>
  </si>
  <si>
    <t>客户第一行距最近购买不超过30天则标近期。</t>
  </si>
  <si>
    <t>EX18</t>
  </si>
  <si>
    <t>加权点击率</t>
  </si>
  <si>
    <t>先汇总点击曝光，再计算总体CTR。</t>
  </si>
  <si>
    <t>EX19</t>
  </si>
  <si>
    <t>退款净额核对</t>
  </si>
  <si>
    <t>汇总折后退款前金额减退款，核对净商品收入。</t>
  </si>
  <si>
    <t>EX20</t>
  </si>
  <si>
    <t>广告预算偏差</t>
  </si>
  <si>
    <t>预算为教学假设12000元，计算实际减预算。</t>
  </si>
  <si>
    <t>EX21</t>
  </si>
  <si>
    <t>含在途与MOQ补货</t>
  </si>
  <si>
    <t>按输入首行计算补货量；available已扣预留，MOQ向上取整。</t>
  </si>
  <si>
    <t>EX22</t>
  </si>
  <si>
    <t>现金余额</t>
  </si>
  <si>
    <t>期初现金100000元，加实际收付流水。</t>
  </si>
  <si>
    <t>EX23</t>
  </si>
  <si>
    <t>成熟客户数</t>
  </si>
  <si>
    <t>计算首购不晚于2026-08-31的客户数量。</t>
  </si>
  <si>
    <t>EX24</t>
  </si>
  <si>
    <t>透视切片核对</t>
  </si>
  <si>
    <t>用SUMIFS核对9月CN广告前贡献；再用透视表实现同一切片。</t>
  </si>
  <si>
    <t>EX25</t>
  </si>
  <si>
    <t>原生透视表</t>
  </si>
  <si>
    <t>以订单财务为数据源；渠道为行，日期为筛选，净商品收入与贡献为求和。</t>
  </si>
  <si>
    <t>界面/转换操作</t>
  </si>
  <si>
    <t>EX26</t>
  </si>
  <si>
    <t>合并商品成本</t>
  </si>
  <si>
    <t>使用Power Query合并订单明细与商品表，先检查SKU唯一性。</t>
  </si>
  <si>
    <t>EX27</t>
  </si>
  <si>
    <t>追加月度表</t>
  </si>
  <si>
    <t>将同结构月度文件按列名追加，检查金额单位和日期类型。</t>
  </si>
  <si>
    <t>EX28</t>
  </si>
  <si>
    <t>逆透视月份</t>
  </si>
  <si>
    <t>把按月份横向展开的销量表转为SKU、月份、销量长表。</t>
  </si>
  <si>
    <t>EX29</t>
  </si>
  <si>
    <t>经营图表与汇报</t>
  </si>
  <si>
    <t>做渠道贡献条形图和按日趋势图，并写一条有证据的动作建议。</t>
  </si>
  <si>
    <t>EX30</t>
  </si>
  <si>
    <t>输入校验与异常提示</t>
  </si>
  <si>
    <t>为渠道设置有效值，标出缺失成本和负可售数量。</t>
  </si>
  <si>
    <t>说明</t>
  </si>
  <si>
    <t>公式文本</t>
  </si>
  <si>
    <t>实际公式值</t>
  </si>
  <si>
    <t>独立参考值</t>
  </si>
  <si>
    <t>核对</t>
  </si>
  <si>
    <t>需评估补货</t>
  </si>
  <si>
    <t>2026-09</t>
  </si>
  <si>
    <t>较久</t>
  </si>
  <si>
    <t>检查总计与参考数据一致，比率另用汇总分子分母计算。</t>
  </si>
  <si>
    <t>需人工操作</t>
  </si>
  <si>
    <t>按验收条件核对</t>
  </si>
  <si>
    <t>未实测</t>
  </si>
  <si>
    <t>展开后行数不意外增加；未匹配SKU单独显示。</t>
  </si>
  <si>
    <t>总记录数与各月之和一致，重复导入可识别。</t>
  </si>
  <si>
    <t>SKU月份组合唯一，不把总计列当月份。</t>
  </si>
  <si>
    <t>轴、单位、日期与口径完整；不把相关变化写成因果。</t>
  </si>
  <si>
    <t>错误输入可见并可追踪，不能用填0掩盖缺失。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</si>
</sst>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Microsoft YaHei"/>
      <family val="2"/>
    </font>
    <font>
      <sz val="11"/>
      <color theme="1"/>
      <name val="Microsoft YaHei"/>
      <family val="2"/>
    </font>
  </fonts>
  <fills count="4">
    <fill>
      <patternFill patternType="none"/>
    </fill>
    <fill>
      <patternFill patternType="gray125"/>
    </fill>
    <fill>
      <patternFill patternType="solid">
        <fgColor rgb="FF225B59"/>
        <bgColor indexed="64"/>
      </patternFill>
    </fill>
    <fill>
      <patternFill patternType="solid">
        <fgColor rgb="FFE7F2E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vertical="top"/>
    </xf>
    <xf numFmtId="164" fontId="3" fillId="0" borderId="0" xfId="0" applyNumberFormat="1" applyFont="1"/>
    <xf numFmtId="165" fontId="3" fillId="0" borderId="0" xfId="0" applyNumberFormat="1" applyFont="1"/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4.7109375" customWidth="1"/>
    <col min="2" max="2" width="110.7109375" customWidth="1"/>
  </cols>
  <sheetData>
    <row r="1" spans="1:2" ht="44" customHeight="1">
      <c r="A1" s="1" t="s">
        <v>0</v>
      </c>
      <c r="B1" s="2" t="s">
        <v>1</v>
      </c>
    </row>
    <row r="2" spans="1:2" ht="44" customHeight="1">
      <c r="A2" s="1" t="s">
        <v>2</v>
      </c>
      <c r="B2" s="2" t="s">
        <v>3</v>
      </c>
    </row>
    <row r="3" spans="1:2" ht="44" customHeight="1">
      <c r="A3" s="1" t="s">
        <v>4</v>
      </c>
      <c r="B3" s="2" t="s">
        <v>5</v>
      </c>
    </row>
    <row r="4" spans="1:2" ht="44" customHeight="1">
      <c r="A4" s="1" t="s">
        <v>6</v>
      </c>
      <c r="B4" s="2" t="s">
        <v>7</v>
      </c>
    </row>
    <row r="5" spans="1:2" ht="44" customHeight="1">
      <c r="A5" s="1" t="s">
        <v>8</v>
      </c>
      <c r="B5" s="2" t="s">
        <v>9</v>
      </c>
    </row>
    <row r="6" spans="1:2" ht="44" customHeight="1">
      <c r="A6" s="1" t="s">
        <v>10</v>
      </c>
      <c r="B6" s="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9" width="18.7109375" style="3" customWidth="1"/>
  </cols>
  <sheetData>
    <row r="1" spans="1:19" ht="32" customHeigh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  <c r="N1" s="1" t="s">
        <v>25</v>
      </c>
      <c r="O1" s="1" t="s">
        <v>26</v>
      </c>
      <c r="P1" s="1" t="s">
        <v>27</v>
      </c>
      <c r="Q1" s="1" t="s">
        <v>28</v>
      </c>
      <c r="R1" s="1" t="s">
        <v>29</v>
      </c>
      <c r="S1" s="1" t="s">
        <v>30</v>
      </c>
    </row>
    <row r="2" spans="1:19">
      <c r="A2" s="3" t="s">
        <v>31</v>
      </c>
      <c r="B2" s="3">
        <v>2</v>
      </c>
      <c r="C2" s="4">
        <v>13</v>
      </c>
      <c r="D2" s="4">
        <v>1.3</v>
      </c>
      <c r="E2" s="4">
        <v>9.24</v>
      </c>
      <c r="F2" s="4">
        <v>0.06</v>
      </c>
      <c r="G2" s="4">
        <v>6.5</v>
      </c>
      <c r="H2" s="3">
        <v>50</v>
      </c>
      <c r="I2" s="3">
        <v>1000</v>
      </c>
      <c r="J2" s="3">
        <v>100</v>
      </c>
      <c r="K2" s="3">
        <v>400</v>
      </c>
      <c r="L2" s="3">
        <v>30</v>
      </c>
      <c r="M2" s="3">
        <v>8</v>
      </c>
      <c r="N2" s="3">
        <v>7</v>
      </c>
      <c r="O2" s="3">
        <v>20</v>
      </c>
      <c r="P2" s="3">
        <v>12</v>
      </c>
      <c r="Q2" s="3">
        <v>24</v>
      </c>
      <c r="R2" s="3" t="s">
        <v>32</v>
      </c>
      <c r="S2" s="3" t="s">
        <v>33</v>
      </c>
    </row>
    <row r="3" spans="1:19">
      <c r="A3" s="3" t="s">
        <v>34</v>
      </c>
      <c r="B3" s="3">
        <v>2</v>
      </c>
      <c r="C3" s="4">
        <v>40</v>
      </c>
      <c r="D3" s="4">
        <v>4</v>
      </c>
      <c r="E3" s="4">
        <v>21.77</v>
      </c>
      <c r="F3" s="4">
        <v>0.06</v>
      </c>
      <c r="G3" s="4">
        <v>6.5</v>
      </c>
      <c r="H3" s="3">
        <v>50</v>
      </c>
      <c r="I3" s="3">
        <v>1000</v>
      </c>
      <c r="J3" s="3">
        <v>100</v>
      </c>
      <c r="K3" s="3">
        <v>400</v>
      </c>
      <c r="L3" s="3">
        <v>30</v>
      </c>
      <c r="M3" s="3">
        <v>8</v>
      </c>
      <c r="N3" s="3">
        <v>7</v>
      </c>
      <c r="O3" s="3">
        <v>20</v>
      </c>
      <c r="P3" s="3">
        <v>12</v>
      </c>
      <c r="Q3" s="3">
        <v>24</v>
      </c>
      <c r="R3" s="3" t="s">
        <v>35</v>
      </c>
      <c r="S3" s="3" t="s">
        <v>33</v>
      </c>
    </row>
    <row r="4" spans="1:19">
      <c r="A4" s="3" t="s">
        <v>36</v>
      </c>
      <c r="B4" s="3">
        <v>2</v>
      </c>
      <c r="C4" s="4">
        <v>28</v>
      </c>
      <c r="D4" s="4">
        <v>2.8</v>
      </c>
      <c r="E4" s="4">
        <v>14.86</v>
      </c>
      <c r="F4" s="4">
        <v>0.06</v>
      </c>
      <c r="G4" s="4">
        <v>6.5</v>
      </c>
      <c r="H4" s="3">
        <v>50</v>
      </c>
      <c r="I4" s="3">
        <v>1000</v>
      </c>
      <c r="J4" s="3">
        <v>100</v>
      </c>
      <c r="K4" s="3">
        <v>400</v>
      </c>
      <c r="L4" s="3">
        <v>30</v>
      </c>
      <c r="M4" s="3">
        <v>8</v>
      </c>
      <c r="N4" s="3">
        <v>7</v>
      </c>
      <c r="O4" s="3">
        <v>20</v>
      </c>
      <c r="P4" s="3">
        <v>12</v>
      </c>
      <c r="Q4" s="3">
        <v>24</v>
      </c>
      <c r="R4" s="3" t="s">
        <v>37</v>
      </c>
      <c r="S4" s="3" t="s">
        <v>33</v>
      </c>
    </row>
    <row r="5" spans="1:19">
      <c r="A5" s="3" t="s">
        <v>38</v>
      </c>
      <c r="B5" s="3">
        <v>2</v>
      </c>
      <c r="C5" s="4">
        <v>430</v>
      </c>
      <c r="D5" s="4">
        <v>43</v>
      </c>
      <c r="E5" s="4">
        <v>260.15</v>
      </c>
      <c r="F5" s="4">
        <v>0.06</v>
      </c>
      <c r="G5" s="4">
        <v>6.5</v>
      </c>
      <c r="H5" s="3">
        <v>50</v>
      </c>
      <c r="I5" s="3">
        <v>1000</v>
      </c>
      <c r="J5" s="3">
        <v>100</v>
      </c>
      <c r="K5" s="3">
        <v>400</v>
      </c>
      <c r="L5" s="3">
        <v>30</v>
      </c>
      <c r="M5" s="3">
        <v>8</v>
      </c>
      <c r="N5" s="3">
        <v>7</v>
      </c>
      <c r="O5" s="3">
        <v>20</v>
      </c>
      <c r="P5" s="3">
        <v>12</v>
      </c>
      <c r="Q5" s="3">
        <v>24</v>
      </c>
      <c r="R5" s="3" t="s">
        <v>39</v>
      </c>
      <c r="S5" s="3" t="s">
        <v>33</v>
      </c>
    </row>
    <row r="6" spans="1:19">
      <c r="A6" s="3" t="s">
        <v>40</v>
      </c>
      <c r="B6" s="3">
        <v>2</v>
      </c>
      <c r="C6" s="4">
        <v>549</v>
      </c>
      <c r="D6" s="4">
        <v>54.9</v>
      </c>
      <c r="E6" s="4">
        <v>331.74</v>
      </c>
      <c r="F6" s="4">
        <v>0.06</v>
      </c>
      <c r="G6" s="4">
        <v>6.5</v>
      </c>
      <c r="H6" s="3">
        <v>50</v>
      </c>
      <c r="I6" s="3">
        <v>1000</v>
      </c>
      <c r="J6" s="3">
        <v>100</v>
      </c>
      <c r="K6" s="3">
        <v>400</v>
      </c>
      <c r="L6" s="3">
        <v>30</v>
      </c>
      <c r="M6" s="3">
        <v>8</v>
      </c>
      <c r="N6" s="3">
        <v>7</v>
      </c>
      <c r="O6" s="3">
        <v>20</v>
      </c>
      <c r="P6" s="3">
        <v>12</v>
      </c>
      <c r="Q6" s="3">
        <v>24</v>
      </c>
      <c r="R6" s="3" t="s">
        <v>41</v>
      </c>
      <c r="S6" s="3" t="s">
        <v>33</v>
      </c>
    </row>
    <row r="7" spans="1:19">
      <c r="A7" s="3" t="s">
        <v>42</v>
      </c>
      <c r="B7" s="3">
        <v>2</v>
      </c>
      <c r="C7" s="4">
        <v>1424</v>
      </c>
      <c r="D7" s="4">
        <v>142.4</v>
      </c>
      <c r="E7" s="4">
        <v>867.97</v>
      </c>
      <c r="F7" s="4">
        <v>0.06</v>
      </c>
      <c r="G7" s="4">
        <v>6.5</v>
      </c>
      <c r="H7" s="3">
        <v>50</v>
      </c>
      <c r="I7" s="3">
        <v>1000</v>
      </c>
      <c r="J7" s="3">
        <v>100</v>
      </c>
      <c r="K7" s="3">
        <v>400</v>
      </c>
      <c r="L7" s="3">
        <v>30</v>
      </c>
      <c r="M7" s="3">
        <v>8</v>
      </c>
      <c r="N7" s="3">
        <v>7</v>
      </c>
      <c r="O7" s="3">
        <v>20</v>
      </c>
      <c r="P7" s="3">
        <v>12</v>
      </c>
      <c r="Q7" s="3">
        <v>24</v>
      </c>
      <c r="R7" s="3" t="s">
        <v>43</v>
      </c>
      <c r="S7" s="3" t="s">
        <v>33</v>
      </c>
    </row>
    <row r="8" spans="1:19">
      <c r="A8" s="3" t="s">
        <v>44</v>
      </c>
      <c r="B8" s="3">
        <v>2</v>
      </c>
      <c r="C8" s="4">
        <v>1470</v>
      </c>
      <c r="D8" s="4">
        <v>147</v>
      </c>
      <c r="E8" s="4">
        <v>1030.48</v>
      </c>
      <c r="F8" s="4">
        <v>0.06</v>
      </c>
      <c r="G8" s="4">
        <v>6.5</v>
      </c>
      <c r="H8" s="3">
        <v>50</v>
      </c>
      <c r="I8" s="3">
        <v>1000</v>
      </c>
      <c r="J8" s="3">
        <v>100</v>
      </c>
      <c r="K8" s="3">
        <v>400</v>
      </c>
      <c r="L8" s="3">
        <v>30</v>
      </c>
      <c r="M8" s="3">
        <v>8</v>
      </c>
      <c r="N8" s="3">
        <v>7</v>
      </c>
      <c r="O8" s="3">
        <v>20</v>
      </c>
      <c r="P8" s="3">
        <v>12</v>
      </c>
      <c r="Q8" s="3">
        <v>24</v>
      </c>
      <c r="R8" s="3" t="s">
        <v>45</v>
      </c>
      <c r="S8" s="3" t="s">
        <v>33</v>
      </c>
    </row>
    <row r="9" spans="1:19">
      <c r="A9" s="3" t="s">
        <v>46</v>
      </c>
      <c r="B9" s="3">
        <v>2</v>
      </c>
      <c r="C9" s="4">
        <v>1250</v>
      </c>
      <c r="D9" s="4">
        <v>125</v>
      </c>
      <c r="E9" s="4">
        <v>921.9400000000001</v>
      </c>
      <c r="F9" s="4">
        <v>0.06</v>
      </c>
      <c r="G9" s="4">
        <v>6.5</v>
      </c>
      <c r="H9" s="3">
        <v>50</v>
      </c>
      <c r="I9" s="3">
        <v>1000</v>
      </c>
      <c r="J9" s="3">
        <v>100</v>
      </c>
      <c r="K9" s="3">
        <v>400</v>
      </c>
      <c r="L9" s="3">
        <v>30</v>
      </c>
      <c r="M9" s="3">
        <v>8</v>
      </c>
      <c r="N9" s="3">
        <v>7</v>
      </c>
      <c r="O9" s="3">
        <v>20</v>
      </c>
      <c r="P9" s="3">
        <v>12</v>
      </c>
      <c r="Q9" s="3">
        <v>24</v>
      </c>
      <c r="R9" s="3" t="s">
        <v>47</v>
      </c>
      <c r="S9" s="3" t="s">
        <v>33</v>
      </c>
    </row>
  </sheetData>
  <autoFilter ref="A1:S9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9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5" width="18.7109375" style="3" customWidth="1"/>
  </cols>
  <sheetData>
    <row r="1" spans="1:15" ht="32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</row>
    <row r="2" spans="1:15">
      <c r="A2" s="3" t="s">
        <v>63</v>
      </c>
      <c r="B2" s="5">
        <v>46211</v>
      </c>
      <c r="C2" s="3" t="s">
        <v>64</v>
      </c>
      <c r="D2" s="4">
        <v>116.16</v>
      </c>
      <c r="E2" s="4">
        <v>83.88</v>
      </c>
      <c r="F2" s="4">
        <v>8.390000000000001</v>
      </c>
      <c r="G2" s="4">
        <v>17.42</v>
      </c>
      <c r="H2" s="4">
        <v>6.5</v>
      </c>
      <c r="I2" s="4">
        <v>10</v>
      </c>
      <c r="J2" s="4">
        <v>6.75</v>
      </c>
      <c r="K2" s="4">
        <v>14.8</v>
      </c>
      <c r="L2" s="4">
        <v>145.2</v>
      </c>
      <c r="M2" s="4">
        <v>29.04</v>
      </c>
      <c r="N2" s="3">
        <v>8</v>
      </c>
      <c r="O2" s="3" t="s">
        <v>65</v>
      </c>
    </row>
    <row r="3" spans="1:15">
      <c r="A3" s="3" t="s">
        <v>66</v>
      </c>
      <c r="B3" s="5">
        <v>46218</v>
      </c>
      <c r="C3" s="3" t="s">
        <v>67</v>
      </c>
      <c r="D3" s="4">
        <v>2743.8</v>
      </c>
      <c r="E3" s="4">
        <v>1970.11</v>
      </c>
      <c r="F3" s="4">
        <v>0</v>
      </c>
      <c r="G3" s="4">
        <v>27.44</v>
      </c>
      <c r="H3" s="4">
        <v>42</v>
      </c>
      <c r="I3" s="4">
        <v>0</v>
      </c>
      <c r="J3" s="4">
        <v>704.25</v>
      </c>
      <c r="K3" s="4">
        <v>233.2</v>
      </c>
      <c r="L3" s="4">
        <v>2743.8</v>
      </c>
      <c r="M3" s="4">
        <v>0</v>
      </c>
      <c r="N3" s="3">
        <v>3</v>
      </c>
      <c r="O3" s="3" t="s">
        <v>68</v>
      </c>
    </row>
    <row r="4" spans="1:15">
      <c r="A4" s="3" t="s">
        <v>69</v>
      </c>
      <c r="B4" s="5">
        <v>46232</v>
      </c>
      <c r="C4" s="3" t="s">
        <v>70</v>
      </c>
      <c r="D4" s="4">
        <v>2548</v>
      </c>
      <c r="E4" s="4">
        <v>1646.04</v>
      </c>
      <c r="F4" s="4">
        <v>0</v>
      </c>
      <c r="G4" s="4">
        <v>152.88</v>
      </c>
      <c r="H4" s="4">
        <v>42</v>
      </c>
      <c r="I4" s="4">
        <v>0</v>
      </c>
      <c r="J4" s="4">
        <v>707.08</v>
      </c>
      <c r="K4" s="4">
        <v>0</v>
      </c>
      <c r="L4" s="4">
        <v>2548</v>
      </c>
      <c r="M4" s="4">
        <v>0</v>
      </c>
      <c r="N4" s="3">
        <v>3</v>
      </c>
      <c r="O4" s="3" t="s">
        <v>71</v>
      </c>
    </row>
    <row r="5" spans="1:15">
      <c r="A5" s="3" t="s">
        <v>72</v>
      </c>
      <c r="B5" s="5">
        <v>46239</v>
      </c>
      <c r="C5" s="3" t="s">
        <v>64</v>
      </c>
      <c r="D5" s="4">
        <v>1174.05</v>
      </c>
      <c r="E5" s="4">
        <v>768.66</v>
      </c>
      <c r="F5" s="4">
        <v>0</v>
      </c>
      <c r="G5" s="4">
        <v>140.89</v>
      </c>
      <c r="H5" s="4">
        <v>42</v>
      </c>
      <c r="I5" s="4">
        <v>0</v>
      </c>
      <c r="J5" s="4">
        <v>222.5</v>
      </c>
      <c r="K5" s="4">
        <v>202.95</v>
      </c>
      <c r="L5" s="4">
        <v>1174.05</v>
      </c>
      <c r="M5" s="4">
        <v>0</v>
      </c>
      <c r="N5" s="3">
        <v>7</v>
      </c>
      <c r="O5" s="3" t="s">
        <v>73</v>
      </c>
    </row>
    <row r="6" spans="1:15">
      <c r="A6" s="3" t="s">
        <v>74</v>
      </c>
      <c r="B6" s="5">
        <v>46246</v>
      </c>
      <c r="C6" s="3" t="s">
        <v>67</v>
      </c>
      <c r="D6" s="4">
        <v>1989</v>
      </c>
      <c r="E6" s="4">
        <v>1385.89</v>
      </c>
      <c r="F6" s="4">
        <v>0</v>
      </c>
      <c r="G6" s="4">
        <v>19.89</v>
      </c>
      <c r="H6" s="4">
        <v>42</v>
      </c>
      <c r="I6" s="4">
        <v>0</v>
      </c>
      <c r="J6" s="4">
        <v>541.22</v>
      </c>
      <c r="K6" s="4">
        <v>129</v>
      </c>
      <c r="L6" s="4">
        <v>1989</v>
      </c>
      <c r="M6" s="4">
        <v>0</v>
      </c>
      <c r="N6" s="3">
        <v>2</v>
      </c>
      <c r="O6" s="3" t="s">
        <v>75</v>
      </c>
    </row>
    <row r="7" spans="1:15">
      <c r="A7" s="3" t="s">
        <v>76</v>
      </c>
      <c r="B7" s="5">
        <v>46253</v>
      </c>
      <c r="C7" s="3" t="s">
        <v>77</v>
      </c>
      <c r="D7" s="4">
        <v>969.23</v>
      </c>
      <c r="E7" s="4">
        <v>757.24</v>
      </c>
      <c r="F7" s="4">
        <v>75.72</v>
      </c>
      <c r="G7" s="4">
        <v>22.03</v>
      </c>
      <c r="H7" s="4">
        <v>42</v>
      </c>
      <c r="I7" s="4">
        <v>5</v>
      </c>
      <c r="J7" s="4">
        <v>218.68</v>
      </c>
      <c r="K7" s="4">
        <v>106.6</v>
      </c>
      <c r="L7" s="4">
        <v>1101.4</v>
      </c>
      <c r="M7" s="4">
        <v>132.17</v>
      </c>
      <c r="N7" s="3">
        <v>9</v>
      </c>
      <c r="O7" s="3" t="s">
        <v>78</v>
      </c>
    </row>
    <row r="8" spans="1:15">
      <c r="A8" s="3" t="s">
        <v>79</v>
      </c>
      <c r="B8" s="5">
        <v>46260</v>
      </c>
      <c r="C8" s="3" t="s">
        <v>70</v>
      </c>
      <c r="D8" s="4">
        <v>1856.4</v>
      </c>
      <c r="E8" s="4">
        <v>1276.87</v>
      </c>
      <c r="F8" s="4">
        <v>0</v>
      </c>
      <c r="G8" s="4">
        <v>111.38</v>
      </c>
      <c r="H8" s="4">
        <v>42</v>
      </c>
      <c r="I8" s="4">
        <v>0</v>
      </c>
      <c r="J8" s="4">
        <v>426.15</v>
      </c>
      <c r="K8" s="4">
        <v>25.6</v>
      </c>
      <c r="L8" s="4">
        <v>1856.4</v>
      </c>
      <c r="M8" s="4">
        <v>0</v>
      </c>
      <c r="N8" s="3">
        <v>6</v>
      </c>
      <c r="O8" s="3" t="s">
        <v>80</v>
      </c>
    </row>
    <row r="9" spans="1:15">
      <c r="A9" s="3" t="s">
        <v>81</v>
      </c>
      <c r="B9" s="5">
        <v>46267</v>
      </c>
      <c r="C9" s="3" t="s">
        <v>64</v>
      </c>
      <c r="D9" s="4">
        <v>96.59999999999999</v>
      </c>
      <c r="E9" s="4">
        <v>72.31999999999999</v>
      </c>
      <c r="F9" s="4">
        <v>0</v>
      </c>
      <c r="G9" s="4">
        <v>11.59</v>
      </c>
      <c r="H9" s="4">
        <v>6.5</v>
      </c>
      <c r="I9" s="4">
        <v>0</v>
      </c>
      <c r="J9" s="4">
        <v>6.19</v>
      </c>
      <c r="K9" s="4">
        <v>11.4</v>
      </c>
      <c r="L9" s="4">
        <v>96.59999999999999</v>
      </c>
      <c r="M9" s="4">
        <v>0</v>
      </c>
      <c r="N9" s="3">
        <v>5</v>
      </c>
      <c r="O9" s="3" t="s">
        <v>82</v>
      </c>
    </row>
    <row r="10" spans="1:15">
      <c r="A10" s="3" t="s">
        <v>83</v>
      </c>
      <c r="B10" s="5">
        <v>46274</v>
      </c>
      <c r="C10" s="3" t="s">
        <v>67</v>
      </c>
      <c r="D10" s="4">
        <v>202.7</v>
      </c>
      <c r="E10" s="4">
        <v>122.63</v>
      </c>
      <c r="F10" s="4">
        <v>0</v>
      </c>
      <c r="G10" s="4">
        <v>2.03</v>
      </c>
      <c r="H10" s="4">
        <v>6.5</v>
      </c>
      <c r="I10" s="4">
        <v>0</v>
      </c>
      <c r="J10" s="4">
        <v>71.54000000000001</v>
      </c>
      <c r="K10" s="4">
        <v>2.3</v>
      </c>
      <c r="L10" s="4">
        <v>202.7</v>
      </c>
      <c r="M10" s="4">
        <v>0</v>
      </c>
      <c r="N10" s="3">
        <v>7</v>
      </c>
      <c r="O10" s="3" t="s">
        <v>84</v>
      </c>
    </row>
    <row r="11" spans="1:15">
      <c r="A11" s="3" t="s">
        <v>85</v>
      </c>
      <c r="B11" s="5">
        <v>46281</v>
      </c>
      <c r="C11" s="3" t="s">
        <v>77</v>
      </c>
      <c r="D11" s="4">
        <v>1888.8</v>
      </c>
      <c r="E11" s="4">
        <v>1387.31</v>
      </c>
      <c r="F11" s="4">
        <v>0</v>
      </c>
      <c r="G11" s="4">
        <v>37.78</v>
      </c>
      <c r="H11" s="4">
        <v>42</v>
      </c>
      <c r="I11" s="4">
        <v>0</v>
      </c>
      <c r="J11" s="4">
        <v>421.71</v>
      </c>
      <c r="K11" s="4">
        <v>237.2</v>
      </c>
      <c r="L11" s="4">
        <v>1888.8</v>
      </c>
      <c r="M11" s="4">
        <v>0</v>
      </c>
      <c r="N11" s="3">
        <v>2</v>
      </c>
      <c r="O11" s="3" t="s">
        <v>86</v>
      </c>
    </row>
    <row r="12" spans="1:15">
      <c r="A12" s="3" t="s">
        <v>87</v>
      </c>
      <c r="B12" s="5">
        <v>46288</v>
      </c>
      <c r="C12" s="3" t="s">
        <v>70</v>
      </c>
      <c r="D12" s="4">
        <v>38.9</v>
      </c>
      <c r="E12" s="4">
        <v>36.96</v>
      </c>
      <c r="F12" s="4">
        <v>3.7</v>
      </c>
      <c r="G12" s="4">
        <v>2.65</v>
      </c>
      <c r="H12" s="4">
        <v>6.5</v>
      </c>
      <c r="I12" s="4">
        <v>5</v>
      </c>
      <c r="J12" s="4">
        <v>-8.51</v>
      </c>
      <c r="K12" s="4">
        <v>7.8</v>
      </c>
      <c r="L12" s="4">
        <v>44.2</v>
      </c>
      <c r="M12" s="4">
        <v>5.3</v>
      </c>
      <c r="N12" s="3">
        <v>4</v>
      </c>
      <c r="O12" s="3" t="s">
        <v>88</v>
      </c>
    </row>
    <row r="13" spans="1:15">
      <c r="A13" s="3" t="s">
        <v>89</v>
      </c>
      <c r="B13" s="5">
        <v>46295</v>
      </c>
      <c r="C13" s="3" t="s">
        <v>64</v>
      </c>
      <c r="D13" s="4">
        <v>2324.15</v>
      </c>
      <c r="E13" s="4">
        <v>1523.64</v>
      </c>
      <c r="F13" s="4">
        <v>0</v>
      </c>
      <c r="G13" s="4">
        <v>278.9</v>
      </c>
      <c r="H13" s="4">
        <v>42</v>
      </c>
      <c r="I13" s="4">
        <v>0</v>
      </c>
      <c r="J13" s="4">
        <v>479.61</v>
      </c>
      <c r="K13" s="4">
        <v>204.85</v>
      </c>
      <c r="L13" s="4">
        <v>2324.15</v>
      </c>
      <c r="M13" s="4">
        <v>0</v>
      </c>
      <c r="N13" s="3">
        <v>6</v>
      </c>
      <c r="O13" s="3" t="s">
        <v>90</v>
      </c>
    </row>
    <row r="14" spans="1:15">
      <c r="A14" s="3" t="s">
        <v>91</v>
      </c>
      <c r="B14" s="5">
        <v>46210</v>
      </c>
      <c r="C14" s="3" t="s">
        <v>67</v>
      </c>
      <c r="D14" s="4">
        <v>35.85</v>
      </c>
      <c r="E14" s="4">
        <v>25.05</v>
      </c>
      <c r="F14" s="4">
        <v>0</v>
      </c>
      <c r="G14" s="4">
        <v>0.36</v>
      </c>
      <c r="H14" s="4">
        <v>6.5</v>
      </c>
      <c r="I14" s="4">
        <v>0</v>
      </c>
      <c r="J14" s="4">
        <v>3.94</v>
      </c>
      <c r="K14" s="4">
        <v>3.15</v>
      </c>
      <c r="L14" s="4">
        <v>35.85</v>
      </c>
      <c r="M14" s="4">
        <v>0</v>
      </c>
      <c r="N14" s="3">
        <v>5</v>
      </c>
      <c r="O14" s="3" t="s">
        <v>92</v>
      </c>
    </row>
    <row r="15" spans="1:15">
      <c r="A15" s="3" t="s">
        <v>93</v>
      </c>
      <c r="B15" s="5">
        <v>46217</v>
      </c>
      <c r="C15" s="3" t="s">
        <v>77</v>
      </c>
      <c r="D15" s="4">
        <v>689.25</v>
      </c>
      <c r="E15" s="4">
        <v>423.72</v>
      </c>
      <c r="F15" s="4">
        <v>0</v>
      </c>
      <c r="G15" s="4">
        <v>13.78</v>
      </c>
      <c r="H15" s="4">
        <v>42</v>
      </c>
      <c r="I15" s="4">
        <v>0</v>
      </c>
      <c r="J15" s="4">
        <v>209.75</v>
      </c>
      <c r="K15" s="4">
        <v>115.75</v>
      </c>
      <c r="L15" s="4">
        <v>689.25</v>
      </c>
      <c r="M15" s="4">
        <v>0</v>
      </c>
      <c r="N15" s="3">
        <v>3</v>
      </c>
      <c r="O15" s="3" t="s">
        <v>94</v>
      </c>
    </row>
    <row r="16" spans="1:15">
      <c r="A16" s="3" t="s">
        <v>95</v>
      </c>
      <c r="B16" s="5">
        <v>46224</v>
      </c>
      <c r="C16" s="3" t="s">
        <v>70</v>
      </c>
      <c r="D16" s="4">
        <v>1384.5</v>
      </c>
      <c r="E16" s="4">
        <v>1011.92</v>
      </c>
      <c r="F16" s="4">
        <v>0</v>
      </c>
      <c r="G16" s="4">
        <v>83.06999999999999</v>
      </c>
      <c r="H16" s="4">
        <v>42</v>
      </c>
      <c r="I16" s="4">
        <v>0</v>
      </c>
      <c r="J16" s="4">
        <v>247.51</v>
      </c>
      <c r="K16" s="4">
        <v>74.5</v>
      </c>
      <c r="L16" s="4">
        <v>1384.5</v>
      </c>
      <c r="M16" s="4">
        <v>0</v>
      </c>
      <c r="N16" s="3">
        <v>8</v>
      </c>
      <c r="O16" s="3" t="s">
        <v>96</v>
      </c>
    </row>
    <row r="17" spans="1:15">
      <c r="A17" s="3" t="s">
        <v>97</v>
      </c>
      <c r="B17" s="5">
        <v>46231</v>
      </c>
      <c r="C17" s="3" t="s">
        <v>64</v>
      </c>
      <c r="D17" s="4">
        <v>71.15000000000001</v>
      </c>
      <c r="E17" s="4">
        <v>59.76</v>
      </c>
      <c r="F17" s="4">
        <v>5.98</v>
      </c>
      <c r="G17" s="4">
        <v>9.699999999999999</v>
      </c>
      <c r="H17" s="4">
        <v>6.5</v>
      </c>
      <c r="I17" s="4">
        <v>5</v>
      </c>
      <c r="J17" s="4">
        <v>-3.83</v>
      </c>
      <c r="K17" s="4">
        <v>6.15</v>
      </c>
      <c r="L17" s="4">
        <v>80.84999999999999</v>
      </c>
      <c r="M17" s="4">
        <v>9.699999999999999</v>
      </c>
      <c r="N17" s="3">
        <v>6</v>
      </c>
      <c r="O17" s="3" t="s">
        <v>98</v>
      </c>
    </row>
    <row r="18" spans="1:15">
      <c r="A18" s="3" t="s">
        <v>99</v>
      </c>
      <c r="B18" s="5">
        <v>46238</v>
      </c>
      <c r="C18" s="3" t="s">
        <v>67</v>
      </c>
      <c r="D18" s="4">
        <v>912.95</v>
      </c>
      <c r="E18" s="4">
        <v>703.96</v>
      </c>
      <c r="F18" s="4">
        <v>0</v>
      </c>
      <c r="G18" s="4">
        <v>9.130000000000001</v>
      </c>
      <c r="H18" s="4">
        <v>42</v>
      </c>
      <c r="I18" s="4">
        <v>0</v>
      </c>
      <c r="J18" s="4">
        <v>157.86</v>
      </c>
      <c r="K18" s="4">
        <v>48.05</v>
      </c>
      <c r="L18" s="4">
        <v>912.95</v>
      </c>
      <c r="M18" s="4">
        <v>0</v>
      </c>
      <c r="N18" s="3">
        <v>1</v>
      </c>
      <c r="O18" s="3" t="s">
        <v>100</v>
      </c>
    </row>
    <row r="19" spans="1:15">
      <c r="A19" s="3" t="s">
        <v>101</v>
      </c>
      <c r="B19" s="5">
        <v>46245</v>
      </c>
      <c r="C19" s="3" t="s">
        <v>77</v>
      </c>
      <c r="D19" s="4">
        <v>736.2</v>
      </c>
      <c r="E19" s="4">
        <v>491.92</v>
      </c>
      <c r="F19" s="4">
        <v>0</v>
      </c>
      <c r="G19" s="4">
        <v>14.72</v>
      </c>
      <c r="H19" s="4">
        <v>42</v>
      </c>
      <c r="I19" s="4">
        <v>0</v>
      </c>
      <c r="J19" s="4">
        <v>187.56</v>
      </c>
      <c r="K19" s="4">
        <v>81.8</v>
      </c>
      <c r="L19" s="4">
        <v>736.2</v>
      </c>
      <c r="M19" s="4">
        <v>0</v>
      </c>
      <c r="N19" s="3">
        <v>1</v>
      </c>
      <c r="O19" s="3" t="s">
        <v>102</v>
      </c>
    </row>
    <row r="20" spans="1:15">
      <c r="A20" s="3" t="s">
        <v>103</v>
      </c>
      <c r="B20" s="5">
        <v>46259</v>
      </c>
      <c r="C20" s="3" t="s">
        <v>64</v>
      </c>
      <c r="D20" s="4">
        <v>147.1</v>
      </c>
      <c r="E20" s="4">
        <v>89.91</v>
      </c>
      <c r="F20" s="4">
        <v>0</v>
      </c>
      <c r="G20" s="4">
        <v>17.65</v>
      </c>
      <c r="H20" s="4">
        <v>6.5</v>
      </c>
      <c r="I20" s="4">
        <v>0</v>
      </c>
      <c r="J20" s="4">
        <v>33.04</v>
      </c>
      <c r="K20" s="4">
        <v>7.9</v>
      </c>
      <c r="L20" s="4">
        <v>147.1</v>
      </c>
      <c r="M20" s="4">
        <v>0</v>
      </c>
      <c r="N20" s="3">
        <v>6</v>
      </c>
      <c r="O20" s="3" t="s">
        <v>104</v>
      </c>
    </row>
    <row r="21" spans="1:15">
      <c r="A21" s="3" t="s">
        <v>105</v>
      </c>
      <c r="B21" s="5">
        <v>46266</v>
      </c>
      <c r="C21" s="3" t="s">
        <v>67</v>
      </c>
      <c r="D21" s="4">
        <v>939.1</v>
      </c>
      <c r="E21" s="4">
        <v>664.42</v>
      </c>
      <c r="F21" s="4">
        <v>0</v>
      </c>
      <c r="G21" s="4">
        <v>9.390000000000001</v>
      </c>
      <c r="H21" s="4">
        <v>42</v>
      </c>
      <c r="I21" s="4">
        <v>0</v>
      </c>
      <c r="J21" s="4">
        <v>223.29</v>
      </c>
      <c r="K21" s="4">
        <v>54.9</v>
      </c>
      <c r="L21" s="4">
        <v>939.1</v>
      </c>
      <c r="M21" s="4">
        <v>0</v>
      </c>
      <c r="N21" s="3">
        <v>5</v>
      </c>
      <c r="O21" s="3" t="s">
        <v>106</v>
      </c>
    </row>
    <row r="22" spans="1:15">
      <c r="A22" s="3" t="s">
        <v>107</v>
      </c>
      <c r="B22" s="5">
        <v>46273</v>
      </c>
      <c r="C22" s="3" t="s">
        <v>77</v>
      </c>
      <c r="D22" s="4">
        <v>1076.44</v>
      </c>
      <c r="E22" s="4">
        <v>873.1799999999999</v>
      </c>
      <c r="F22" s="4">
        <v>87.31999999999999</v>
      </c>
      <c r="G22" s="4">
        <v>26.91</v>
      </c>
      <c r="H22" s="4">
        <v>42</v>
      </c>
      <c r="I22" s="4">
        <v>10</v>
      </c>
      <c r="J22" s="4">
        <v>211.67</v>
      </c>
      <c r="K22" s="4">
        <v>237.45</v>
      </c>
      <c r="L22" s="4">
        <v>1345.55</v>
      </c>
      <c r="M22" s="4">
        <v>269.11</v>
      </c>
      <c r="N22" s="3">
        <v>2</v>
      </c>
      <c r="O22" s="3" t="s">
        <v>108</v>
      </c>
    </row>
    <row r="23" spans="1:15">
      <c r="A23" s="3" t="s">
        <v>109</v>
      </c>
      <c r="B23" s="5">
        <v>46287</v>
      </c>
      <c r="C23" s="3" t="s">
        <v>64</v>
      </c>
      <c r="D23" s="4">
        <v>30.4</v>
      </c>
      <c r="E23" s="4">
        <v>22.09</v>
      </c>
      <c r="F23" s="4">
        <v>0</v>
      </c>
      <c r="G23" s="4">
        <v>3.65</v>
      </c>
      <c r="H23" s="4">
        <v>6.5</v>
      </c>
      <c r="I23" s="4">
        <v>0</v>
      </c>
      <c r="J23" s="4">
        <v>-1.84</v>
      </c>
      <c r="K23" s="4">
        <v>1.6</v>
      </c>
      <c r="L23" s="4">
        <v>30.4</v>
      </c>
      <c r="M23" s="4">
        <v>0</v>
      </c>
      <c r="N23" s="3">
        <v>3</v>
      </c>
      <c r="O23" s="3" t="s">
        <v>110</v>
      </c>
    </row>
    <row r="24" spans="1:15">
      <c r="A24" s="3" t="s">
        <v>111</v>
      </c>
      <c r="B24" s="5">
        <v>46294</v>
      </c>
      <c r="C24" s="3" t="s">
        <v>67</v>
      </c>
      <c r="D24" s="4">
        <v>2038.2</v>
      </c>
      <c r="E24" s="4">
        <v>1351.21</v>
      </c>
      <c r="F24" s="4">
        <v>0</v>
      </c>
      <c r="G24" s="4">
        <v>20.38</v>
      </c>
      <c r="H24" s="4">
        <v>42</v>
      </c>
      <c r="I24" s="4">
        <v>0</v>
      </c>
      <c r="J24" s="4">
        <v>624.61</v>
      </c>
      <c r="K24" s="4">
        <v>225.8</v>
      </c>
      <c r="L24" s="4">
        <v>2038.2</v>
      </c>
      <c r="M24" s="4">
        <v>0</v>
      </c>
      <c r="N24" s="3">
        <v>4</v>
      </c>
      <c r="O24" s="3" t="s">
        <v>112</v>
      </c>
    </row>
    <row r="25" spans="1:15">
      <c r="A25" s="3" t="s">
        <v>113</v>
      </c>
      <c r="B25" s="5">
        <v>46209</v>
      </c>
      <c r="C25" s="3" t="s">
        <v>77</v>
      </c>
      <c r="D25" s="4">
        <v>96.40000000000001</v>
      </c>
      <c r="E25" s="4">
        <v>72.78</v>
      </c>
      <c r="F25" s="4">
        <v>0</v>
      </c>
      <c r="G25" s="4">
        <v>1.93</v>
      </c>
      <c r="H25" s="4">
        <v>6.5</v>
      </c>
      <c r="I25" s="4">
        <v>0</v>
      </c>
      <c r="J25" s="4">
        <v>15.19</v>
      </c>
      <c r="K25" s="4">
        <v>9.6</v>
      </c>
      <c r="L25" s="4">
        <v>96.40000000000001</v>
      </c>
      <c r="M25" s="4">
        <v>0</v>
      </c>
      <c r="N25" s="3">
        <v>5</v>
      </c>
      <c r="O25" s="3" t="s">
        <v>114</v>
      </c>
    </row>
    <row r="26" spans="1:15">
      <c r="A26" s="3" t="s">
        <v>115</v>
      </c>
      <c r="B26" s="5">
        <v>46216</v>
      </c>
      <c r="C26" s="3" t="s">
        <v>70</v>
      </c>
      <c r="D26" s="4">
        <v>51</v>
      </c>
      <c r="E26" s="4">
        <v>38.76</v>
      </c>
      <c r="F26" s="4">
        <v>0</v>
      </c>
      <c r="G26" s="4">
        <v>3.06</v>
      </c>
      <c r="H26" s="4">
        <v>6.5</v>
      </c>
      <c r="I26" s="4">
        <v>0</v>
      </c>
      <c r="J26" s="4">
        <v>2.68</v>
      </c>
      <c r="K26" s="4">
        <v>9</v>
      </c>
      <c r="L26" s="4">
        <v>51</v>
      </c>
      <c r="M26" s="4">
        <v>0</v>
      </c>
      <c r="N26" s="3">
        <v>4</v>
      </c>
      <c r="O26" s="3" t="s">
        <v>116</v>
      </c>
    </row>
    <row r="27" spans="1:15">
      <c r="A27" s="3" t="s">
        <v>117</v>
      </c>
      <c r="B27" s="5">
        <v>46223</v>
      </c>
      <c r="C27" s="3" t="s">
        <v>64</v>
      </c>
      <c r="D27" s="4">
        <v>1085.35</v>
      </c>
      <c r="E27" s="4">
        <v>725.24</v>
      </c>
      <c r="F27" s="4">
        <v>72.52</v>
      </c>
      <c r="G27" s="4">
        <v>148</v>
      </c>
      <c r="H27" s="4">
        <v>42</v>
      </c>
      <c r="I27" s="4">
        <v>5</v>
      </c>
      <c r="J27" s="4">
        <v>237.63</v>
      </c>
      <c r="K27" s="4">
        <v>63.65</v>
      </c>
      <c r="L27" s="4">
        <v>1233.35</v>
      </c>
      <c r="M27" s="4">
        <v>148</v>
      </c>
      <c r="N27" s="3">
        <v>5</v>
      </c>
      <c r="O27" s="3" t="s">
        <v>118</v>
      </c>
    </row>
    <row r="28" spans="1:15">
      <c r="A28" s="3" t="s">
        <v>119</v>
      </c>
      <c r="B28" s="5">
        <v>46230</v>
      </c>
      <c r="C28" s="3" t="s">
        <v>67</v>
      </c>
      <c r="D28" s="4">
        <v>35.1</v>
      </c>
      <c r="E28" s="4">
        <v>21.15</v>
      </c>
      <c r="F28" s="4">
        <v>0</v>
      </c>
      <c r="G28" s="4">
        <v>0.35</v>
      </c>
      <c r="H28" s="4">
        <v>6.5</v>
      </c>
      <c r="I28" s="4">
        <v>0</v>
      </c>
      <c r="J28" s="4">
        <v>7.1</v>
      </c>
      <c r="K28" s="4">
        <v>3.9</v>
      </c>
      <c r="L28" s="4">
        <v>35.1</v>
      </c>
      <c r="M28" s="4">
        <v>0</v>
      </c>
      <c r="N28" s="3">
        <v>3</v>
      </c>
      <c r="O28" s="3" t="s">
        <v>120</v>
      </c>
    </row>
    <row r="29" spans="1:15">
      <c r="A29" s="3" t="s">
        <v>121</v>
      </c>
      <c r="B29" s="5">
        <v>46237</v>
      </c>
      <c r="C29" s="3" t="s">
        <v>77</v>
      </c>
      <c r="D29" s="4">
        <v>149</v>
      </c>
      <c r="E29" s="4">
        <v>99.88</v>
      </c>
      <c r="F29" s="4">
        <v>0</v>
      </c>
      <c r="G29" s="4">
        <v>2.98</v>
      </c>
      <c r="H29" s="4">
        <v>6.5</v>
      </c>
      <c r="I29" s="4">
        <v>0</v>
      </c>
      <c r="J29" s="4">
        <v>39.64</v>
      </c>
      <c r="K29" s="4">
        <v>15</v>
      </c>
      <c r="L29" s="4">
        <v>149</v>
      </c>
      <c r="M29" s="4">
        <v>0</v>
      </c>
      <c r="N29" s="3">
        <v>5</v>
      </c>
      <c r="O29" s="3" t="s">
        <v>122</v>
      </c>
    </row>
    <row r="30" spans="1:15">
      <c r="A30" s="3" t="s">
        <v>123</v>
      </c>
      <c r="B30" s="5">
        <v>46251</v>
      </c>
      <c r="C30" s="3" t="s">
        <v>64</v>
      </c>
      <c r="D30" s="4">
        <v>36</v>
      </c>
      <c r="E30" s="4">
        <v>22.02</v>
      </c>
      <c r="F30" s="4">
        <v>0</v>
      </c>
      <c r="G30" s="4">
        <v>4.32</v>
      </c>
      <c r="H30" s="4">
        <v>6.5</v>
      </c>
      <c r="I30" s="4">
        <v>0</v>
      </c>
      <c r="J30" s="4">
        <v>3.16</v>
      </c>
      <c r="K30" s="4">
        <v>0</v>
      </c>
      <c r="L30" s="4">
        <v>36</v>
      </c>
      <c r="M30" s="4">
        <v>0</v>
      </c>
      <c r="N30" s="3">
        <v>1</v>
      </c>
      <c r="O30" s="3" t="s">
        <v>124</v>
      </c>
    </row>
    <row r="31" spans="1:15">
      <c r="A31" s="3" t="s">
        <v>125</v>
      </c>
      <c r="B31" s="5">
        <v>46258</v>
      </c>
      <c r="C31" s="3" t="s">
        <v>67</v>
      </c>
      <c r="D31" s="4">
        <v>51.3</v>
      </c>
      <c r="E31" s="4">
        <v>33.9</v>
      </c>
      <c r="F31" s="4">
        <v>0</v>
      </c>
      <c r="G31" s="4">
        <v>0.51</v>
      </c>
      <c r="H31" s="4">
        <v>6.5</v>
      </c>
      <c r="I31" s="4">
        <v>0</v>
      </c>
      <c r="J31" s="4">
        <v>10.39</v>
      </c>
      <c r="K31" s="4">
        <v>2.7</v>
      </c>
      <c r="L31" s="4">
        <v>51.3</v>
      </c>
      <c r="M31" s="4">
        <v>0</v>
      </c>
      <c r="N31" s="3">
        <v>7</v>
      </c>
      <c r="O31" s="3" t="s">
        <v>126</v>
      </c>
    </row>
    <row r="32" spans="1:15">
      <c r="A32" s="3" t="s">
        <v>127</v>
      </c>
      <c r="B32" s="5">
        <v>46272</v>
      </c>
      <c r="C32" s="3" t="s">
        <v>70</v>
      </c>
      <c r="D32" s="4">
        <v>1499.16</v>
      </c>
      <c r="E32" s="4">
        <v>1407.92</v>
      </c>
      <c r="F32" s="4">
        <v>140.79</v>
      </c>
      <c r="G32" s="4">
        <v>112.44</v>
      </c>
      <c r="H32" s="4">
        <v>42</v>
      </c>
      <c r="I32" s="4">
        <v>10</v>
      </c>
      <c r="J32" s="4">
        <v>67.59</v>
      </c>
      <c r="K32" s="4">
        <v>48.05</v>
      </c>
      <c r="L32" s="4">
        <v>1873.95</v>
      </c>
      <c r="M32" s="4">
        <v>374.79</v>
      </c>
      <c r="N32" s="3">
        <v>2</v>
      </c>
      <c r="O32" s="3" t="s">
        <v>128</v>
      </c>
    </row>
    <row r="33" spans="1:15">
      <c r="A33" s="3" t="s">
        <v>129</v>
      </c>
      <c r="B33" s="5">
        <v>46286</v>
      </c>
      <c r="C33" s="3" t="s">
        <v>67</v>
      </c>
      <c r="D33" s="4">
        <v>31.5</v>
      </c>
      <c r="E33" s="4">
        <v>20.88</v>
      </c>
      <c r="F33" s="4">
        <v>0</v>
      </c>
      <c r="G33" s="4">
        <v>0.32</v>
      </c>
      <c r="H33" s="4">
        <v>6.5</v>
      </c>
      <c r="I33" s="4">
        <v>0</v>
      </c>
      <c r="J33" s="4">
        <v>3.8</v>
      </c>
      <c r="K33" s="4">
        <v>4.5</v>
      </c>
      <c r="L33" s="4">
        <v>31.5</v>
      </c>
      <c r="M33" s="4">
        <v>0</v>
      </c>
      <c r="N33" s="3">
        <v>4</v>
      </c>
      <c r="O33" s="3" t="s">
        <v>130</v>
      </c>
    </row>
    <row r="34" spans="1:15">
      <c r="A34" s="3" t="s">
        <v>131</v>
      </c>
      <c r="B34" s="5">
        <v>46293</v>
      </c>
      <c r="C34" s="3" t="s">
        <v>77</v>
      </c>
      <c r="D34" s="4">
        <v>1708</v>
      </c>
      <c r="E34" s="4">
        <v>1104.3</v>
      </c>
      <c r="F34" s="4">
        <v>0</v>
      </c>
      <c r="G34" s="4">
        <v>34.16</v>
      </c>
      <c r="H34" s="4">
        <v>42</v>
      </c>
      <c r="I34" s="4">
        <v>0</v>
      </c>
      <c r="J34" s="4">
        <v>527.54</v>
      </c>
      <c r="K34" s="4">
        <v>0</v>
      </c>
      <c r="L34" s="4">
        <v>1708</v>
      </c>
      <c r="M34" s="4">
        <v>0</v>
      </c>
      <c r="N34" s="3">
        <v>2</v>
      </c>
      <c r="O34" s="3" t="s">
        <v>132</v>
      </c>
    </row>
    <row r="35" spans="1:15">
      <c r="A35" s="3" t="s">
        <v>133</v>
      </c>
      <c r="B35" s="5">
        <v>46208</v>
      </c>
      <c r="C35" s="3" t="s">
        <v>70</v>
      </c>
      <c r="D35" s="4">
        <v>453</v>
      </c>
      <c r="E35" s="4">
        <v>267.69</v>
      </c>
      <c r="F35" s="4">
        <v>0</v>
      </c>
      <c r="G35" s="4">
        <v>27.18</v>
      </c>
      <c r="H35" s="4">
        <v>42</v>
      </c>
      <c r="I35" s="4">
        <v>0</v>
      </c>
      <c r="J35" s="4">
        <v>116.13</v>
      </c>
      <c r="K35" s="4">
        <v>0</v>
      </c>
      <c r="L35" s="4">
        <v>453</v>
      </c>
      <c r="M35" s="4">
        <v>0</v>
      </c>
      <c r="N35" s="3">
        <v>1</v>
      </c>
      <c r="O35" s="3" t="s">
        <v>134</v>
      </c>
    </row>
    <row r="36" spans="1:15">
      <c r="A36" s="3" t="s">
        <v>135</v>
      </c>
      <c r="B36" s="5">
        <v>46215</v>
      </c>
      <c r="C36" s="3" t="s">
        <v>64</v>
      </c>
      <c r="D36" s="4">
        <v>1553.7</v>
      </c>
      <c r="E36" s="4">
        <v>1173.63</v>
      </c>
      <c r="F36" s="4">
        <v>0</v>
      </c>
      <c r="G36" s="4">
        <v>186.44</v>
      </c>
      <c r="H36" s="4">
        <v>42</v>
      </c>
      <c r="I36" s="4">
        <v>0</v>
      </c>
      <c r="J36" s="4">
        <v>151.63</v>
      </c>
      <c r="K36" s="4">
        <v>172.3</v>
      </c>
      <c r="L36" s="4">
        <v>1553.7</v>
      </c>
      <c r="M36" s="4">
        <v>0</v>
      </c>
      <c r="N36" s="3">
        <v>3</v>
      </c>
      <c r="O36" s="3" t="s">
        <v>136</v>
      </c>
    </row>
    <row r="37" spans="1:15">
      <c r="A37" s="3" t="s">
        <v>137</v>
      </c>
      <c r="B37" s="5">
        <v>46222</v>
      </c>
      <c r="C37" s="3" t="s">
        <v>67</v>
      </c>
      <c r="D37" s="4">
        <v>1568.78</v>
      </c>
      <c r="E37" s="4">
        <v>1038.72</v>
      </c>
      <c r="F37" s="4">
        <v>103.87</v>
      </c>
      <c r="G37" s="4">
        <v>17.83</v>
      </c>
      <c r="H37" s="4">
        <v>42</v>
      </c>
      <c r="I37" s="4">
        <v>5</v>
      </c>
      <c r="J37" s="4">
        <v>569.1</v>
      </c>
      <c r="K37" s="4">
        <v>130.3</v>
      </c>
      <c r="L37" s="4">
        <v>1782.7</v>
      </c>
      <c r="M37" s="4">
        <v>213.92</v>
      </c>
      <c r="N37" s="3">
        <v>5</v>
      </c>
      <c r="O37" s="3" t="s">
        <v>138</v>
      </c>
    </row>
    <row r="38" spans="1:15">
      <c r="A38" s="3" t="s">
        <v>139</v>
      </c>
      <c r="B38" s="5">
        <v>46229</v>
      </c>
      <c r="C38" s="3" t="s">
        <v>77</v>
      </c>
      <c r="D38" s="4">
        <v>126.2</v>
      </c>
      <c r="E38" s="4">
        <v>69</v>
      </c>
      <c r="F38" s="4">
        <v>0</v>
      </c>
      <c r="G38" s="4">
        <v>2.52</v>
      </c>
      <c r="H38" s="4">
        <v>6.5</v>
      </c>
      <c r="I38" s="4">
        <v>0</v>
      </c>
      <c r="J38" s="4">
        <v>48.18</v>
      </c>
      <c r="K38" s="4">
        <v>1.8</v>
      </c>
      <c r="L38" s="4">
        <v>126.2</v>
      </c>
      <c r="M38" s="4">
        <v>0</v>
      </c>
      <c r="N38" s="3">
        <v>8</v>
      </c>
      <c r="O38" s="3" t="s">
        <v>140</v>
      </c>
    </row>
    <row r="39" spans="1:15">
      <c r="A39" s="3" t="s">
        <v>141</v>
      </c>
      <c r="B39" s="5">
        <v>46236</v>
      </c>
      <c r="C39" s="3" t="s">
        <v>70</v>
      </c>
      <c r="D39" s="4">
        <v>20.4</v>
      </c>
      <c r="E39" s="4">
        <v>15.78</v>
      </c>
      <c r="F39" s="4">
        <v>0</v>
      </c>
      <c r="G39" s="4">
        <v>1.22</v>
      </c>
      <c r="H39" s="4">
        <v>6.5</v>
      </c>
      <c r="I39" s="4">
        <v>0</v>
      </c>
      <c r="J39" s="4">
        <v>-3.1</v>
      </c>
      <c r="K39" s="4">
        <v>3.6</v>
      </c>
      <c r="L39" s="4">
        <v>20.4</v>
      </c>
      <c r="M39" s="4">
        <v>0</v>
      </c>
      <c r="N39" s="3">
        <v>3</v>
      </c>
      <c r="O39" s="3" t="s">
        <v>142</v>
      </c>
    </row>
    <row r="40" spans="1:15">
      <c r="A40" s="3" t="s">
        <v>143</v>
      </c>
      <c r="B40" s="5">
        <v>46243</v>
      </c>
      <c r="C40" s="3" t="s">
        <v>64</v>
      </c>
      <c r="D40" s="4">
        <v>1157.5</v>
      </c>
      <c r="E40" s="4">
        <v>980.6900000000001</v>
      </c>
      <c r="F40" s="4">
        <v>0</v>
      </c>
      <c r="G40" s="4">
        <v>138.9</v>
      </c>
      <c r="H40" s="4">
        <v>42</v>
      </c>
      <c r="I40" s="4">
        <v>0</v>
      </c>
      <c r="J40" s="4">
        <v>-4.09</v>
      </c>
      <c r="K40" s="4">
        <v>187.5</v>
      </c>
      <c r="L40" s="4">
        <v>1157.5</v>
      </c>
      <c r="M40" s="4">
        <v>0</v>
      </c>
      <c r="N40" s="3">
        <v>6</v>
      </c>
      <c r="O40" s="3" t="s">
        <v>144</v>
      </c>
    </row>
    <row r="41" spans="1:15">
      <c r="A41" s="3" t="s">
        <v>145</v>
      </c>
      <c r="B41" s="5">
        <v>46250</v>
      </c>
      <c r="C41" s="3" t="s">
        <v>67</v>
      </c>
      <c r="D41" s="4">
        <v>2158.95</v>
      </c>
      <c r="E41" s="4">
        <v>1521.43</v>
      </c>
      <c r="F41" s="4">
        <v>0</v>
      </c>
      <c r="G41" s="4">
        <v>21.59</v>
      </c>
      <c r="H41" s="4">
        <v>42</v>
      </c>
      <c r="I41" s="4">
        <v>0</v>
      </c>
      <c r="J41" s="4">
        <v>573.9299999999999</v>
      </c>
      <c r="K41" s="4">
        <v>301.05</v>
      </c>
      <c r="L41" s="4">
        <v>2158.95</v>
      </c>
      <c r="M41" s="4">
        <v>0</v>
      </c>
      <c r="N41" s="3">
        <v>3</v>
      </c>
      <c r="O41" s="3" t="s">
        <v>146</v>
      </c>
    </row>
    <row r="42" spans="1:15">
      <c r="A42" s="3" t="s">
        <v>147</v>
      </c>
      <c r="B42" s="5">
        <v>46257</v>
      </c>
      <c r="C42" s="3" t="s">
        <v>77</v>
      </c>
      <c r="D42" s="4">
        <v>660.4400000000001</v>
      </c>
      <c r="E42" s="4">
        <v>568.3200000000001</v>
      </c>
      <c r="F42" s="4">
        <v>56.83</v>
      </c>
      <c r="G42" s="4">
        <v>16.51</v>
      </c>
      <c r="H42" s="4">
        <v>42</v>
      </c>
      <c r="I42" s="4">
        <v>10</v>
      </c>
      <c r="J42" s="4">
        <v>80.44</v>
      </c>
      <c r="K42" s="4">
        <v>43.45</v>
      </c>
      <c r="L42" s="4">
        <v>825.55</v>
      </c>
      <c r="M42" s="4">
        <v>165.11</v>
      </c>
      <c r="N42" s="3">
        <v>1</v>
      </c>
      <c r="O42" s="3" t="s">
        <v>148</v>
      </c>
    </row>
    <row r="43" spans="1:15">
      <c r="A43" s="3" t="s">
        <v>149</v>
      </c>
      <c r="B43" s="5">
        <v>46264</v>
      </c>
      <c r="C43" s="3" t="s">
        <v>70</v>
      </c>
      <c r="D43" s="4">
        <v>1516.25</v>
      </c>
      <c r="E43" s="4">
        <v>1195.37</v>
      </c>
      <c r="F43" s="4">
        <v>0</v>
      </c>
      <c r="G43" s="4">
        <v>90.98</v>
      </c>
      <c r="H43" s="4">
        <v>42</v>
      </c>
      <c r="I43" s="4">
        <v>0</v>
      </c>
      <c r="J43" s="4">
        <v>187.9</v>
      </c>
      <c r="K43" s="4">
        <v>188.75</v>
      </c>
      <c r="L43" s="4">
        <v>1516.25</v>
      </c>
      <c r="M43" s="4">
        <v>0</v>
      </c>
      <c r="N43" s="3">
        <v>3</v>
      </c>
      <c r="O43" s="3" t="s">
        <v>150</v>
      </c>
    </row>
    <row r="44" spans="1:15">
      <c r="A44" s="3" t="s">
        <v>151</v>
      </c>
      <c r="B44" s="5">
        <v>46271</v>
      </c>
      <c r="C44" s="3" t="s">
        <v>64</v>
      </c>
      <c r="D44" s="4">
        <v>1407.05</v>
      </c>
      <c r="E44" s="4">
        <v>1009.78</v>
      </c>
      <c r="F44" s="4">
        <v>0</v>
      </c>
      <c r="G44" s="4">
        <v>168.85</v>
      </c>
      <c r="H44" s="4">
        <v>42</v>
      </c>
      <c r="I44" s="4">
        <v>0</v>
      </c>
      <c r="J44" s="4">
        <v>186.42</v>
      </c>
      <c r="K44" s="4">
        <v>1.95</v>
      </c>
      <c r="L44" s="4">
        <v>1407.05</v>
      </c>
      <c r="M44" s="4">
        <v>0</v>
      </c>
      <c r="N44" s="3">
        <v>7</v>
      </c>
      <c r="O44" s="3" t="s">
        <v>152</v>
      </c>
    </row>
    <row r="45" spans="1:15">
      <c r="A45" s="3" t="s">
        <v>153</v>
      </c>
      <c r="B45" s="5">
        <v>46285</v>
      </c>
      <c r="C45" s="3" t="s">
        <v>77</v>
      </c>
      <c r="D45" s="4">
        <v>277.4</v>
      </c>
      <c r="E45" s="4">
        <v>212.14</v>
      </c>
      <c r="F45" s="4">
        <v>0</v>
      </c>
      <c r="G45" s="4">
        <v>5.55</v>
      </c>
      <c r="H45" s="4">
        <v>42</v>
      </c>
      <c r="I45" s="4">
        <v>0</v>
      </c>
      <c r="J45" s="4">
        <v>17.71</v>
      </c>
      <c r="K45" s="4">
        <v>14.6</v>
      </c>
      <c r="L45" s="4">
        <v>277.4</v>
      </c>
      <c r="M45" s="4">
        <v>0</v>
      </c>
      <c r="N45" s="3">
        <v>1</v>
      </c>
      <c r="O45" s="3" t="s">
        <v>154</v>
      </c>
    </row>
    <row r="46" spans="1:15">
      <c r="A46" s="3" t="s">
        <v>155</v>
      </c>
      <c r="B46" s="5">
        <v>46292</v>
      </c>
      <c r="C46" s="3" t="s">
        <v>70</v>
      </c>
      <c r="D46" s="4">
        <v>10.8</v>
      </c>
      <c r="E46" s="4">
        <v>7.16</v>
      </c>
      <c r="F46" s="4">
        <v>0</v>
      </c>
      <c r="G46" s="4">
        <v>0.65</v>
      </c>
      <c r="H46" s="4">
        <v>6.5</v>
      </c>
      <c r="I46" s="4">
        <v>0</v>
      </c>
      <c r="J46" s="4">
        <v>-3.51</v>
      </c>
      <c r="K46" s="4">
        <v>1.2</v>
      </c>
      <c r="L46" s="4">
        <v>10.8</v>
      </c>
      <c r="M46" s="4">
        <v>0</v>
      </c>
      <c r="N46" s="3">
        <v>2</v>
      </c>
      <c r="O46" s="3" t="s">
        <v>156</v>
      </c>
    </row>
    <row r="47" spans="1:15">
      <c r="A47" s="3" t="s">
        <v>157</v>
      </c>
      <c r="B47" s="5">
        <v>46207</v>
      </c>
      <c r="C47" s="3" t="s">
        <v>64</v>
      </c>
      <c r="D47" s="4">
        <v>1446.54</v>
      </c>
      <c r="E47" s="4">
        <v>1102.03</v>
      </c>
      <c r="F47" s="4">
        <v>110.2</v>
      </c>
      <c r="G47" s="4">
        <v>197.26</v>
      </c>
      <c r="H47" s="4">
        <v>42</v>
      </c>
      <c r="I47" s="4">
        <v>5</v>
      </c>
      <c r="J47" s="4">
        <v>210.45</v>
      </c>
      <c r="K47" s="4">
        <v>37.2</v>
      </c>
      <c r="L47" s="4">
        <v>1643.8</v>
      </c>
      <c r="M47" s="4">
        <v>197.26</v>
      </c>
      <c r="N47" s="3">
        <v>6</v>
      </c>
      <c r="O47" s="3" t="s">
        <v>158</v>
      </c>
    </row>
    <row r="48" spans="1:15">
      <c r="A48" s="3" t="s">
        <v>159</v>
      </c>
      <c r="B48" s="5">
        <v>46228</v>
      </c>
      <c r="C48" s="3" t="s">
        <v>70</v>
      </c>
      <c r="D48" s="4">
        <v>967.55</v>
      </c>
      <c r="E48" s="4">
        <v>647.38</v>
      </c>
      <c r="F48" s="4">
        <v>0</v>
      </c>
      <c r="G48" s="4">
        <v>58.05</v>
      </c>
      <c r="H48" s="4">
        <v>42</v>
      </c>
      <c r="I48" s="4">
        <v>0</v>
      </c>
      <c r="J48" s="4">
        <v>220.12</v>
      </c>
      <c r="K48" s="4">
        <v>43.45</v>
      </c>
      <c r="L48" s="4">
        <v>967.55</v>
      </c>
      <c r="M48" s="4">
        <v>0</v>
      </c>
      <c r="N48" s="3">
        <v>7</v>
      </c>
      <c r="O48" s="3" t="s">
        <v>160</v>
      </c>
    </row>
    <row r="49" spans="1:15">
      <c r="A49" s="3" t="s">
        <v>161</v>
      </c>
      <c r="B49" s="5">
        <v>46242</v>
      </c>
      <c r="C49" s="3" t="s">
        <v>67</v>
      </c>
      <c r="D49" s="4">
        <v>58.65</v>
      </c>
      <c r="E49" s="4">
        <v>36.09</v>
      </c>
      <c r="F49" s="4">
        <v>0</v>
      </c>
      <c r="G49" s="4">
        <v>0.59</v>
      </c>
      <c r="H49" s="4">
        <v>6.5</v>
      </c>
      <c r="I49" s="4">
        <v>0</v>
      </c>
      <c r="J49" s="4">
        <v>15.47</v>
      </c>
      <c r="K49" s="4">
        <v>10.35</v>
      </c>
      <c r="L49" s="4">
        <v>58.65</v>
      </c>
      <c r="M49" s="4">
        <v>0</v>
      </c>
      <c r="N49" s="3">
        <v>3</v>
      </c>
      <c r="O49" s="3" t="s">
        <v>162</v>
      </c>
    </row>
    <row r="50" spans="1:15">
      <c r="A50" s="3" t="s">
        <v>163</v>
      </c>
      <c r="B50" s="5">
        <v>46249</v>
      </c>
      <c r="C50" s="3" t="s">
        <v>77</v>
      </c>
      <c r="D50" s="4">
        <v>1378.8</v>
      </c>
      <c r="E50" s="4">
        <v>796.52</v>
      </c>
      <c r="F50" s="4">
        <v>0</v>
      </c>
      <c r="G50" s="4">
        <v>27.58</v>
      </c>
      <c r="H50" s="4">
        <v>42</v>
      </c>
      <c r="I50" s="4">
        <v>0</v>
      </c>
      <c r="J50" s="4">
        <v>512.7</v>
      </c>
      <c r="K50" s="4">
        <v>153.2</v>
      </c>
      <c r="L50" s="4">
        <v>1378.8</v>
      </c>
      <c r="M50" s="4">
        <v>0</v>
      </c>
      <c r="N50" s="3">
        <v>1</v>
      </c>
      <c r="O50" s="3" t="s">
        <v>164</v>
      </c>
    </row>
    <row r="51" spans="1:15">
      <c r="A51" s="3" t="s">
        <v>165</v>
      </c>
      <c r="B51" s="5">
        <v>46256</v>
      </c>
      <c r="C51" s="3" t="s">
        <v>70</v>
      </c>
      <c r="D51" s="4">
        <v>909.55</v>
      </c>
      <c r="E51" s="4">
        <v>612.9</v>
      </c>
      <c r="F51" s="4">
        <v>0</v>
      </c>
      <c r="G51" s="4">
        <v>54.57</v>
      </c>
      <c r="H51" s="4">
        <v>42</v>
      </c>
      <c r="I51" s="4">
        <v>0</v>
      </c>
      <c r="J51" s="4">
        <v>200.08</v>
      </c>
      <c r="K51" s="4">
        <v>43.45</v>
      </c>
      <c r="L51" s="4">
        <v>909.55</v>
      </c>
      <c r="M51" s="4">
        <v>0</v>
      </c>
      <c r="N51" s="3">
        <v>4</v>
      </c>
      <c r="O51" s="3" t="s">
        <v>166</v>
      </c>
    </row>
    <row r="52" spans="1:15">
      <c r="A52" s="3" t="s">
        <v>167</v>
      </c>
      <c r="B52" s="5">
        <v>46263</v>
      </c>
      <c r="C52" s="3" t="s">
        <v>64</v>
      </c>
      <c r="D52" s="4">
        <v>1746.8</v>
      </c>
      <c r="E52" s="4">
        <v>1521.97</v>
      </c>
      <c r="F52" s="4">
        <v>152.2</v>
      </c>
      <c r="G52" s="4">
        <v>262.02</v>
      </c>
      <c r="H52" s="4">
        <v>42</v>
      </c>
      <c r="I52" s="4">
        <v>10</v>
      </c>
      <c r="J52" s="4">
        <v>63.01</v>
      </c>
      <c r="K52" s="4">
        <v>212.5</v>
      </c>
      <c r="L52" s="4">
        <v>2183.5</v>
      </c>
      <c r="M52" s="4">
        <v>436.7</v>
      </c>
      <c r="N52" s="3">
        <v>4</v>
      </c>
      <c r="O52" s="3" t="s">
        <v>65</v>
      </c>
    </row>
    <row r="53" spans="1:15">
      <c r="A53" s="3" t="s">
        <v>168</v>
      </c>
      <c r="B53" s="5">
        <v>46270</v>
      </c>
      <c r="C53" s="3" t="s">
        <v>67</v>
      </c>
      <c r="D53" s="4">
        <v>2169.6</v>
      </c>
      <c r="E53" s="4">
        <v>1571.95</v>
      </c>
      <c r="F53" s="4">
        <v>0</v>
      </c>
      <c r="G53" s="4">
        <v>21.7</v>
      </c>
      <c r="H53" s="4">
        <v>42</v>
      </c>
      <c r="I53" s="4">
        <v>0</v>
      </c>
      <c r="J53" s="4">
        <v>533.95</v>
      </c>
      <c r="K53" s="4">
        <v>381.4</v>
      </c>
      <c r="L53" s="4">
        <v>2169.6</v>
      </c>
      <c r="M53" s="4">
        <v>0</v>
      </c>
      <c r="N53" s="3">
        <v>3</v>
      </c>
      <c r="O53" s="3" t="s">
        <v>68</v>
      </c>
    </row>
    <row r="54" spans="1:15">
      <c r="A54" s="3" t="s">
        <v>169</v>
      </c>
      <c r="B54" s="5">
        <v>46277</v>
      </c>
      <c r="C54" s="3" t="s">
        <v>77</v>
      </c>
      <c r="D54" s="4">
        <v>661.3</v>
      </c>
      <c r="E54" s="4">
        <v>413.47</v>
      </c>
      <c r="F54" s="4">
        <v>0</v>
      </c>
      <c r="G54" s="4">
        <v>13.23</v>
      </c>
      <c r="H54" s="4">
        <v>42</v>
      </c>
      <c r="I54" s="4">
        <v>0</v>
      </c>
      <c r="J54" s="4">
        <v>192.6</v>
      </c>
      <c r="K54" s="4">
        <v>116.7</v>
      </c>
      <c r="L54" s="4">
        <v>661.3</v>
      </c>
      <c r="M54" s="4">
        <v>0</v>
      </c>
      <c r="N54" s="3">
        <v>2</v>
      </c>
      <c r="O54" s="3" t="s">
        <v>170</v>
      </c>
    </row>
    <row r="55" spans="1:15">
      <c r="A55" s="3" t="s">
        <v>171</v>
      </c>
      <c r="B55" s="5">
        <v>46284</v>
      </c>
      <c r="C55" s="3" t="s">
        <v>70</v>
      </c>
      <c r="D55" s="4">
        <v>1697.7</v>
      </c>
      <c r="E55" s="4">
        <v>1244.48</v>
      </c>
      <c r="F55" s="4">
        <v>0</v>
      </c>
      <c r="G55" s="4">
        <v>101.86</v>
      </c>
      <c r="H55" s="4">
        <v>42</v>
      </c>
      <c r="I55" s="4">
        <v>0</v>
      </c>
      <c r="J55" s="4">
        <v>309.36</v>
      </c>
      <c r="K55" s="4">
        <v>264.3</v>
      </c>
      <c r="L55" s="4">
        <v>1697.7</v>
      </c>
      <c r="M55" s="4">
        <v>0</v>
      </c>
      <c r="N55" s="3">
        <v>5</v>
      </c>
      <c r="O55" s="3" t="s">
        <v>71</v>
      </c>
    </row>
    <row r="56" spans="1:15">
      <c r="A56" s="3" t="s">
        <v>172</v>
      </c>
      <c r="B56" s="5">
        <v>46291</v>
      </c>
      <c r="C56" s="3" t="s">
        <v>64</v>
      </c>
      <c r="D56" s="4">
        <v>2158.8</v>
      </c>
      <c r="E56" s="4">
        <v>1472.8</v>
      </c>
      <c r="F56" s="4">
        <v>0</v>
      </c>
      <c r="G56" s="4">
        <v>259.06</v>
      </c>
      <c r="H56" s="4">
        <v>42</v>
      </c>
      <c r="I56" s="4">
        <v>0</v>
      </c>
      <c r="J56" s="4">
        <v>384.94</v>
      </c>
      <c r="K56" s="4">
        <v>238.2</v>
      </c>
      <c r="L56" s="4">
        <v>2158.8</v>
      </c>
      <c r="M56" s="4">
        <v>0</v>
      </c>
      <c r="N56" s="3">
        <v>3</v>
      </c>
      <c r="O56" s="3" t="s">
        <v>73</v>
      </c>
    </row>
    <row r="57" spans="1:15">
      <c r="A57" s="3" t="s">
        <v>173</v>
      </c>
      <c r="B57" s="5">
        <v>46220</v>
      </c>
      <c r="C57" s="3" t="s">
        <v>70</v>
      </c>
      <c r="D57" s="4">
        <v>1863.71</v>
      </c>
      <c r="E57" s="4">
        <v>1571.33</v>
      </c>
      <c r="F57" s="4">
        <v>157.13</v>
      </c>
      <c r="G57" s="4">
        <v>127.07</v>
      </c>
      <c r="H57" s="4">
        <v>42</v>
      </c>
      <c r="I57" s="4">
        <v>5</v>
      </c>
      <c r="J57" s="4">
        <v>275.44</v>
      </c>
      <c r="K57" s="4">
        <v>239.15</v>
      </c>
      <c r="L57" s="4">
        <v>2117.85</v>
      </c>
      <c r="M57" s="4">
        <v>254.14</v>
      </c>
      <c r="N57" s="3">
        <v>5</v>
      </c>
      <c r="O57" s="3" t="s">
        <v>80</v>
      </c>
    </row>
    <row r="58" spans="1:15">
      <c r="A58" s="3" t="s">
        <v>174</v>
      </c>
      <c r="B58" s="5">
        <v>46227</v>
      </c>
      <c r="C58" s="3" t="s">
        <v>64</v>
      </c>
      <c r="D58" s="4">
        <v>907.2</v>
      </c>
      <c r="E58" s="4">
        <v>689.03</v>
      </c>
      <c r="F58" s="4">
        <v>0</v>
      </c>
      <c r="G58" s="4">
        <v>108.86</v>
      </c>
      <c r="H58" s="4">
        <v>42</v>
      </c>
      <c r="I58" s="4">
        <v>0</v>
      </c>
      <c r="J58" s="4">
        <v>67.31</v>
      </c>
      <c r="K58" s="4">
        <v>100.8</v>
      </c>
      <c r="L58" s="4">
        <v>907.2</v>
      </c>
      <c r="M58" s="4">
        <v>0</v>
      </c>
      <c r="N58" s="3">
        <v>1</v>
      </c>
      <c r="O58" s="3" t="s">
        <v>82</v>
      </c>
    </row>
    <row r="59" spans="1:15">
      <c r="A59" s="3" t="s">
        <v>175</v>
      </c>
      <c r="B59" s="5">
        <v>46234</v>
      </c>
      <c r="C59" s="3" t="s">
        <v>67</v>
      </c>
      <c r="D59" s="4">
        <v>1273.4</v>
      </c>
      <c r="E59" s="4">
        <v>964.11</v>
      </c>
      <c r="F59" s="4">
        <v>0</v>
      </c>
      <c r="G59" s="4">
        <v>12.73</v>
      </c>
      <c r="H59" s="4">
        <v>42</v>
      </c>
      <c r="I59" s="4">
        <v>0</v>
      </c>
      <c r="J59" s="4">
        <v>254.56</v>
      </c>
      <c r="K59" s="4">
        <v>117.6</v>
      </c>
      <c r="L59" s="4">
        <v>1273.4</v>
      </c>
      <c r="M59" s="4">
        <v>0</v>
      </c>
      <c r="N59" s="3">
        <v>2</v>
      </c>
      <c r="O59" s="3" t="s">
        <v>84</v>
      </c>
    </row>
    <row r="60" spans="1:15">
      <c r="A60" s="3" t="s">
        <v>176</v>
      </c>
      <c r="B60" s="5">
        <v>46241</v>
      </c>
      <c r="C60" s="3" t="s">
        <v>77</v>
      </c>
      <c r="D60" s="4">
        <v>46</v>
      </c>
      <c r="E60" s="4">
        <v>31.5</v>
      </c>
      <c r="F60" s="4">
        <v>0</v>
      </c>
      <c r="G60" s="4">
        <v>0.92</v>
      </c>
      <c r="H60" s="4">
        <v>6.5</v>
      </c>
      <c r="I60" s="4">
        <v>0</v>
      </c>
      <c r="J60" s="4">
        <v>7.08</v>
      </c>
      <c r="K60" s="4">
        <v>0</v>
      </c>
      <c r="L60" s="4">
        <v>46</v>
      </c>
      <c r="M60" s="4">
        <v>0</v>
      </c>
      <c r="N60" s="3">
        <v>4</v>
      </c>
      <c r="O60" s="3" t="s">
        <v>86</v>
      </c>
    </row>
    <row r="61" spans="1:15">
      <c r="A61" s="3" t="s">
        <v>177</v>
      </c>
      <c r="B61" s="5">
        <v>46248</v>
      </c>
      <c r="C61" s="3" t="s">
        <v>70</v>
      </c>
      <c r="D61" s="4">
        <v>828</v>
      </c>
      <c r="E61" s="4">
        <v>476.02</v>
      </c>
      <c r="F61" s="4">
        <v>0</v>
      </c>
      <c r="G61" s="4">
        <v>49.68</v>
      </c>
      <c r="H61" s="4">
        <v>42</v>
      </c>
      <c r="I61" s="4">
        <v>0</v>
      </c>
      <c r="J61" s="4">
        <v>260.3</v>
      </c>
      <c r="K61" s="4">
        <v>0</v>
      </c>
      <c r="L61" s="4">
        <v>828</v>
      </c>
      <c r="M61" s="4">
        <v>0</v>
      </c>
      <c r="N61" s="3">
        <v>1</v>
      </c>
      <c r="O61" s="3" t="s">
        <v>88</v>
      </c>
    </row>
    <row r="62" spans="1:15">
      <c r="A62" s="3" t="s">
        <v>178</v>
      </c>
      <c r="B62" s="5">
        <v>46255</v>
      </c>
      <c r="C62" s="3" t="s">
        <v>64</v>
      </c>
      <c r="D62" s="4">
        <v>96.56</v>
      </c>
      <c r="E62" s="4">
        <v>83.64</v>
      </c>
      <c r="F62" s="4">
        <v>8.359999999999999</v>
      </c>
      <c r="G62" s="4">
        <v>14.48</v>
      </c>
      <c r="H62" s="4">
        <v>6.5</v>
      </c>
      <c r="I62" s="4">
        <v>10</v>
      </c>
      <c r="J62" s="4">
        <v>-9.699999999999999</v>
      </c>
      <c r="K62" s="4">
        <v>1.3</v>
      </c>
      <c r="L62" s="4">
        <v>120.7</v>
      </c>
      <c r="M62" s="4">
        <v>24.14</v>
      </c>
      <c r="N62" s="3">
        <v>5</v>
      </c>
      <c r="O62" s="3" t="s">
        <v>90</v>
      </c>
    </row>
    <row r="63" spans="1:15">
      <c r="A63" s="3" t="s">
        <v>179</v>
      </c>
      <c r="B63" s="5">
        <v>46262</v>
      </c>
      <c r="C63" s="3" t="s">
        <v>67</v>
      </c>
      <c r="D63" s="4">
        <v>2236.3</v>
      </c>
      <c r="E63" s="4">
        <v>1294.23</v>
      </c>
      <c r="F63" s="4">
        <v>0</v>
      </c>
      <c r="G63" s="4">
        <v>22.36</v>
      </c>
      <c r="H63" s="4">
        <v>42</v>
      </c>
      <c r="I63" s="4">
        <v>0</v>
      </c>
      <c r="J63" s="4">
        <v>877.71</v>
      </c>
      <c r="K63" s="4">
        <v>122.7</v>
      </c>
      <c r="L63" s="4">
        <v>2236.3</v>
      </c>
      <c r="M63" s="4">
        <v>0</v>
      </c>
      <c r="N63" s="3">
        <v>3</v>
      </c>
      <c r="O63" s="3" t="s">
        <v>92</v>
      </c>
    </row>
    <row r="64" spans="1:15">
      <c r="A64" s="3" t="s">
        <v>180</v>
      </c>
      <c r="B64" s="5">
        <v>46269</v>
      </c>
      <c r="C64" s="3" t="s">
        <v>77</v>
      </c>
      <c r="D64" s="4">
        <v>847.95</v>
      </c>
      <c r="E64" s="4">
        <v>489.43</v>
      </c>
      <c r="F64" s="4">
        <v>0</v>
      </c>
      <c r="G64" s="4">
        <v>16.96</v>
      </c>
      <c r="H64" s="4">
        <v>42</v>
      </c>
      <c r="I64" s="4">
        <v>0</v>
      </c>
      <c r="J64" s="4">
        <v>299.56</v>
      </c>
      <c r="K64" s="4">
        <v>1.05</v>
      </c>
      <c r="L64" s="4">
        <v>847.95</v>
      </c>
      <c r="M64" s="4">
        <v>0</v>
      </c>
      <c r="N64" s="3">
        <v>4</v>
      </c>
      <c r="O64" s="3" t="s">
        <v>94</v>
      </c>
    </row>
    <row r="65" spans="1:15">
      <c r="A65" s="3" t="s">
        <v>181</v>
      </c>
      <c r="B65" s="5">
        <v>46276</v>
      </c>
      <c r="C65" s="3" t="s">
        <v>70</v>
      </c>
      <c r="D65" s="4">
        <v>102</v>
      </c>
      <c r="E65" s="4">
        <v>65.31</v>
      </c>
      <c r="F65" s="4">
        <v>0</v>
      </c>
      <c r="G65" s="4">
        <v>6.12</v>
      </c>
      <c r="H65" s="4">
        <v>6.5</v>
      </c>
      <c r="I65" s="4">
        <v>0</v>
      </c>
      <c r="J65" s="4">
        <v>24.07</v>
      </c>
      <c r="K65" s="4">
        <v>18</v>
      </c>
      <c r="L65" s="4">
        <v>102</v>
      </c>
      <c r="M65" s="4">
        <v>0</v>
      </c>
      <c r="N65" s="3">
        <v>3</v>
      </c>
      <c r="O65" s="3" t="s">
        <v>96</v>
      </c>
    </row>
    <row r="66" spans="1:15">
      <c r="A66" s="3" t="s">
        <v>182</v>
      </c>
      <c r="B66" s="5">
        <v>46283</v>
      </c>
      <c r="C66" s="3" t="s">
        <v>64</v>
      </c>
      <c r="D66" s="4">
        <v>106.4</v>
      </c>
      <c r="E66" s="4">
        <v>70.18000000000001</v>
      </c>
      <c r="F66" s="4">
        <v>0</v>
      </c>
      <c r="G66" s="4">
        <v>12.77</v>
      </c>
      <c r="H66" s="4">
        <v>6.5</v>
      </c>
      <c r="I66" s="4">
        <v>0</v>
      </c>
      <c r="J66" s="4">
        <v>16.95</v>
      </c>
      <c r="K66" s="4">
        <v>5.6</v>
      </c>
      <c r="L66" s="4">
        <v>106.4</v>
      </c>
      <c r="M66" s="4">
        <v>0</v>
      </c>
      <c r="N66" s="3">
        <v>6</v>
      </c>
      <c r="O66" s="3" t="s">
        <v>98</v>
      </c>
    </row>
    <row r="67" spans="1:15">
      <c r="A67" s="3" t="s">
        <v>183</v>
      </c>
      <c r="B67" s="5">
        <v>46205</v>
      </c>
      <c r="C67" s="3" t="s">
        <v>77</v>
      </c>
      <c r="D67" s="4">
        <v>692.21</v>
      </c>
      <c r="E67" s="4">
        <v>476.02</v>
      </c>
      <c r="F67" s="4">
        <v>47.6</v>
      </c>
      <c r="G67" s="4">
        <v>15.73</v>
      </c>
      <c r="H67" s="4">
        <v>42</v>
      </c>
      <c r="I67" s="4">
        <v>5</v>
      </c>
      <c r="J67" s="4">
        <v>201.06</v>
      </c>
      <c r="K67" s="4">
        <v>41.4</v>
      </c>
      <c r="L67" s="4">
        <v>786.6</v>
      </c>
      <c r="M67" s="4">
        <v>94.39</v>
      </c>
      <c r="N67" s="3">
        <v>1</v>
      </c>
      <c r="O67" s="3" t="s">
        <v>102</v>
      </c>
    </row>
    <row r="68" spans="1:15">
      <c r="A68" s="3" t="s">
        <v>184</v>
      </c>
      <c r="B68" s="5">
        <v>46212</v>
      </c>
      <c r="C68" s="3" t="s">
        <v>70</v>
      </c>
      <c r="D68" s="4">
        <v>1263.2</v>
      </c>
      <c r="E68" s="4">
        <v>841.24</v>
      </c>
      <c r="F68" s="4">
        <v>0</v>
      </c>
      <c r="G68" s="4">
        <v>75.79000000000001</v>
      </c>
      <c r="H68" s="4">
        <v>42</v>
      </c>
      <c r="I68" s="4">
        <v>0</v>
      </c>
      <c r="J68" s="4">
        <v>304.17</v>
      </c>
      <c r="K68" s="4">
        <v>108.8</v>
      </c>
      <c r="L68" s="4">
        <v>1263.2</v>
      </c>
      <c r="M68" s="4">
        <v>0</v>
      </c>
      <c r="N68" s="3">
        <v>5</v>
      </c>
      <c r="O68" s="3" t="s">
        <v>185</v>
      </c>
    </row>
    <row r="69" spans="1:15">
      <c r="A69" s="3" t="s">
        <v>186</v>
      </c>
      <c r="B69" s="5">
        <v>46219</v>
      </c>
      <c r="C69" s="3" t="s">
        <v>64</v>
      </c>
      <c r="D69" s="4">
        <v>25.2</v>
      </c>
      <c r="E69" s="4">
        <v>17.88</v>
      </c>
      <c r="F69" s="4">
        <v>0</v>
      </c>
      <c r="G69" s="4">
        <v>3.02</v>
      </c>
      <c r="H69" s="4">
        <v>6.5</v>
      </c>
      <c r="I69" s="4">
        <v>0</v>
      </c>
      <c r="J69" s="4">
        <v>-2.2</v>
      </c>
      <c r="K69" s="4">
        <v>2.8</v>
      </c>
      <c r="L69" s="4">
        <v>25.2</v>
      </c>
      <c r="M69" s="4">
        <v>0</v>
      </c>
      <c r="N69" s="3">
        <v>4</v>
      </c>
      <c r="O69" s="3" t="s">
        <v>104</v>
      </c>
    </row>
    <row r="70" spans="1:15">
      <c r="A70" s="3" t="s">
        <v>187</v>
      </c>
      <c r="B70" s="5">
        <v>46226</v>
      </c>
      <c r="C70" s="3" t="s">
        <v>67</v>
      </c>
      <c r="D70" s="4">
        <v>5.7</v>
      </c>
      <c r="E70" s="4">
        <v>3.58</v>
      </c>
      <c r="F70" s="4">
        <v>0</v>
      </c>
      <c r="G70" s="4">
        <v>0.06</v>
      </c>
      <c r="H70" s="4">
        <v>6.5</v>
      </c>
      <c r="I70" s="4">
        <v>0</v>
      </c>
      <c r="J70" s="4">
        <v>-4.44</v>
      </c>
      <c r="K70" s="4">
        <v>0.3</v>
      </c>
      <c r="L70" s="4">
        <v>5.7</v>
      </c>
      <c r="M70" s="4">
        <v>0</v>
      </c>
      <c r="N70" s="3">
        <v>1</v>
      </c>
      <c r="O70" s="3" t="s">
        <v>106</v>
      </c>
    </row>
    <row r="71" spans="1:15">
      <c r="A71" s="3" t="s">
        <v>188</v>
      </c>
      <c r="B71" s="5">
        <v>46240</v>
      </c>
      <c r="C71" s="3" t="s">
        <v>70</v>
      </c>
      <c r="D71" s="4">
        <v>2049.7</v>
      </c>
      <c r="E71" s="4">
        <v>1438.82</v>
      </c>
      <c r="F71" s="4">
        <v>0</v>
      </c>
      <c r="G71" s="4">
        <v>122.98</v>
      </c>
      <c r="H71" s="4">
        <v>42</v>
      </c>
      <c r="I71" s="4">
        <v>0</v>
      </c>
      <c r="J71" s="4">
        <v>445.9</v>
      </c>
      <c r="K71" s="4">
        <v>230.3</v>
      </c>
      <c r="L71" s="4">
        <v>2049.7</v>
      </c>
      <c r="M71" s="4">
        <v>0</v>
      </c>
      <c r="N71" s="3">
        <v>4</v>
      </c>
      <c r="O71" s="3" t="s">
        <v>189</v>
      </c>
    </row>
    <row r="72" spans="1:15">
      <c r="A72" s="3" t="s">
        <v>190</v>
      </c>
      <c r="B72" s="5">
        <v>46247</v>
      </c>
      <c r="C72" s="3" t="s">
        <v>64</v>
      </c>
      <c r="D72" s="4">
        <v>1128.56</v>
      </c>
      <c r="E72" s="4">
        <v>1088.02</v>
      </c>
      <c r="F72" s="4">
        <v>108.8</v>
      </c>
      <c r="G72" s="4">
        <v>169.28</v>
      </c>
      <c r="H72" s="4">
        <v>42</v>
      </c>
      <c r="I72" s="4">
        <v>10</v>
      </c>
      <c r="J72" s="4">
        <v>-71.94</v>
      </c>
      <c r="K72" s="4">
        <v>153.3</v>
      </c>
      <c r="L72" s="4">
        <v>1410.7</v>
      </c>
      <c r="M72" s="4">
        <v>282.14</v>
      </c>
      <c r="N72" s="3">
        <v>8</v>
      </c>
      <c r="O72" s="3" t="s">
        <v>110</v>
      </c>
    </row>
    <row r="73" spans="1:15">
      <c r="A73" s="3" t="s">
        <v>191</v>
      </c>
      <c r="B73" s="5">
        <v>46254</v>
      </c>
      <c r="C73" s="3" t="s">
        <v>67</v>
      </c>
      <c r="D73" s="4">
        <v>75.40000000000001</v>
      </c>
      <c r="E73" s="4">
        <v>57.87</v>
      </c>
      <c r="F73" s="4">
        <v>0</v>
      </c>
      <c r="G73" s="4">
        <v>0.75</v>
      </c>
      <c r="H73" s="4">
        <v>6.5</v>
      </c>
      <c r="I73" s="4">
        <v>0</v>
      </c>
      <c r="J73" s="4">
        <v>10.28</v>
      </c>
      <c r="K73" s="4">
        <v>7.6</v>
      </c>
      <c r="L73" s="4">
        <v>75.40000000000001</v>
      </c>
      <c r="M73" s="4">
        <v>0</v>
      </c>
      <c r="N73" s="3">
        <v>5</v>
      </c>
      <c r="O73" s="3" t="s">
        <v>112</v>
      </c>
    </row>
    <row r="74" spans="1:15">
      <c r="A74" s="3" t="s">
        <v>192</v>
      </c>
      <c r="B74" s="5">
        <v>46261</v>
      </c>
      <c r="C74" s="3" t="s">
        <v>77</v>
      </c>
      <c r="D74" s="4">
        <v>121.4</v>
      </c>
      <c r="E74" s="4">
        <v>74.66</v>
      </c>
      <c r="F74" s="4">
        <v>0</v>
      </c>
      <c r="G74" s="4">
        <v>2.43</v>
      </c>
      <c r="H74" s="4">
        <v>6.5</v>
      </c>
      <c r="I74" s="4">
        <v>0</v>
      </c>
      <c r="J74" s="4">
        <v>37.81</v>
      </c>
      <c r="K74" s="4">
        <v>2.6</v>
      </c>
      <c r="L74" s="4">
        <v>121.4</v>
      </c>
      <c r="M74" s="4">
        <v>0</v>
      </c>
      <c r="N74" s="3">
        <v>10</v>
      </c>
      <c r="O74" s="3" t="s">
        <v>114</v>
      </c>
    </row>
    <row r="75" spans="1:15">
      <c r="A75" s="3" t="s">
        <v>193</v>
      </c>
      <c r="B75" s="5">
        <v>46275</v>
      </c>
      <c r="C75" s="3" t="s">
        <v>64</v>
      </c>
      <c r="D75" s="4">
        <v>1161</v>
      </c>
      <c r="E75" s="4">
        <v>909.87</v>
      </c>
      <c r="F75" s="4">
        <v>0</v>
      </c>
      <c r="G75" s="4">
        <v>139.32</v>
      </c>
      <c r="H75" s="4">
        <v>42</v>
      </c>
      <c r="I75" s="4">
        <v>0</v>
      </c>
      <c r="J75" s="4">
        <v>69.81</v>
      </c>
      <c r="K75" s="4">
        <v>129</v>
      </c>
      <c r="L75" s="4">
        <v>1161</v>
      </c>
      <c r="M75" s="4">
        <v>0</v>
      </c>
      <c r="N75" s="3">
        <v>1</v>
      </c>
      <c r="O75" s="3" t="s">
        <v>118</v>
      </c>
    </row>
    <row r="76" spans="1:15">
      <c r="A76" s="3" t="s">
        <v>194</v>
      </c>
      <c r="B76" s="5">
        <v>46282</v>
      </c>
      <c r="C76" s="3" t="s">
        <v>67</v>
      </c>
      <c r="D76" s="4">
        <v>450.45</v>
      </c>
      <c r="E76" s="4">
        <v>295.04</v>
      </c>
      <c r="F76" s="4">
        <v>0</v>
      </c>
      <c r="G76" s="4">
        <v>4.5</v>
      </c>
      <c r="H76" s="4">
        <v>42</v>
      </c>
      <c r="I76" s="4">
        <v>0</v>
      </c>
      <c r="J76" s="4">
        <v>108.91</v>
      </c>
      <c r="K76" s="4">
        <v>47.55</v>
      </c>
      <c r="L76" s="4">
        <v>450.45</v>
      </c>
      <c r="M76" s="4">
        <v>0</v>
      </c>
      <c r="N76" s="3">
        <v>4</v>
      </c>
      <c r="O76" s="3" t="s">
        <v>120</v>
      </c>
    </row>
    <row r="77" spans="1:15">
      <c r="A77" s="3" t="s">
        <v>195</v>
      </c>
      <c r="B77" s="5">
        <v>46289</v>
      </c>
      <c r="C77" s="3" t="s">
        <v>77</v>
      </c>
      <c r="D77" s="4">
        <v>2566.96</v>
      </c>
      <c r="E77" s="4">
        <v>1700.59</v>
      </c>
      <c r="F77" s="4">
        <v>170.06</v>
      </c>
      <c r="G77" s="4">
        <v>58.34</v>
      </c>
      <c r="H77" s="4">
        <v>42</v>
      </c>
      <c r="I77" s="4">
        <v>5</v>
      </c>
      <c r="J77" s="4">
        <v>931.09</v>
      </c>
      <c r="K77" s="4">
        <v>200</v>
      </c>
      <c r="L77" s="4">
        <v>2917</v>
      </c>
      <c r="M77" s="4">
        <v>350.04</v>
      </c>
      <c r="N77" s="3">
        <v>3</v>
      </c>
      <c r="O77" s="3" t="s">
        <v>122</v>
      </c>
    </row>
    <row r="78" spans="1:15">
      <c r="A78" s="3" t="s">
        <v>196</v>
      </c>
      <c r="B78" s="5">
        <v>46204</v>
      </c>
      <c r="C78" s="3" t="s">
        <v>70</v>
      </c>
      <c r="D78" s="4">
        <v>1069.1</v>
      </c>
      <c r="E78" s="4">
        <v>704.0599999999999</v>
      </c>
      <c r="F78" s="4">
        <v>0</v>
      </c>
      <c r="G78" s="4">
        <v>64.15000000000001</v>
      </c>
      <c r="H78" s="4">
        <v>42</v>
      </c>
      <c r="I78" s="4">
        <v>0</v>
      </c>
      <c r="J78" s="4">
        <v>258.89</v>
      </c>
      <c r="K78" s="4">
        <v>40.9</v>
      </c>
      <c r="L78" s="4">
        <v>1069.1</v>
      </c>
      <c r="M78" s="4">
        <v>0</v>
      </c>
      <c r="N78" s="3">
        <v>2</v>
      </c>
      <c r="O78" s="3" t="s">
        <v>197</v>
      </c>
    </row>
    <row r="79" spans="1:15">
      <c r="A79" s="3" t="s">
        <v>198</v>
      </c>
      <c r="B79" s="5">
        <v>46211</v>
      </c>
      <c r="C79" s="3" t="s">
        <v>64</v>
      </c>
      <c r="D79" s="4">
        <v>828</v>
      </c>
      <c r="E79" s="4">
        <v>476.02</v>
      </c>
      <c r="F79" s="4">
        <v>0</v>
      </c>
      <c r="G79" s="4">
        <v>99.36</v>
      </c>
      <c r="H79" s="4">
        <v>42</v>
      </c>
      <c r="I79" s="4">
        <v>0</v>
      </c>
      <c r="J79" s="4">
        <v>210.62</v>
      </c>
      <c r="K79" s="4">
        <v>0</v>
      </c>
      <c r="L79" s="4">
        <v>828</v>
      </c>
      <c r="M79" s="4">
        <v>0</v>
      </c>
      <c r="N79" s="3">
        <v>1</v>
      </c>
      <c r="O79" s="3" t="s">
        <v>124</v>
      </c>
    </row>
    <row r="80" spans="1:15">
      <c r="A80" s="3" t="s">
        <v>199</v>
      </c>
      <c r="B80" s="5">
        <v>46218</v>
      </c>
      <c r="C80" s="3" t="s">
        <v>67</v>
      </c>
      <c r="D80" s="4">
        <v>948.1</v>
      </c>
      <c r="E80" s="4">
        <v>660.17</v>
      </c>
      <c r="F80" s="4">
        <v>0</v>
      </c>
      <c r="G80" s="4">
        <v>9.48</v>
      </c>
      <c r="H80" s="4">
        <v>42</v>
      </c>
      <c r="I80" s="4">
        <v>0</v>
      </c>
      <c r="J80" s="4">
        <v>236.45</v>
      </c>
      <c r="K80" s="4">
        <v>49.9</v>
      </c>
      <c r="L80" s="4">
        <v>948.1</v>
      </c>
      <c r="M80" s="4">
        <v>0</v>
      </c>
      <c r="N80" s="3">
        <v>8</v>
      </c>
      <c r="O80" s="3" t="s">
        <v>126</v>
      </c>
    </row>
    <row r="81" spans="1:15">
      <c r="A81" s="3" t="s">
        <v>200</v>
      </c>
      <c r="B81" s="5">
        <v>46225</v>
      </c>
      <c r="C81" s="3" t="s">
        <v>77</v>
      </c>
      <c r="D81" s="4">
        <v>513.15</v>
      </c>
      <c r="E81" s="4">
        <v>332.93</v>
      </c>
      <c r="F81" s="4">
        <v>0</v>
      </c>
      <c r="G81" s="4">
        <v>10.26</v>
      </c>
      <c r="H81" s="4">
        <v>42</v>
      </c>
      <c r="I81" s="4">
        <v>0</v>
      </c>
      <c r="J81" s="4">
        <v>127.96</v>
      </c>
      <c r="K81" s="4">
        <v>31.85</v>
      </c>
      <c r="L81" s="4">
        <v>513.15</v>
      </c>
      <c r="M81" s="4">
        <v>0</v>
      </c>
      <c r="N81" s="3">
        <v>5</v>
      </c>
      <c r="O81" s="3" t="s">
        <v>201</v>
      </c>
    </row>
    <row r="82" spans="1:15">
      <c r="A82" s="3" t="s">
        <v>202</v>
      </c>
      <c r="B82" s="5">
        <v>46232</v>
      </c>
      <c r="C82" s="3" t="s">
        <v>70</v>
      </c>
      <c r="D82" s="4">
        <v>1803.12</v>
      </c>
      <c r="E82" s="4">
        <v>1397.81</v>
      </c>
      <c r="F82" s="4">
        <v>139.78</v>
      </c>
      <c r="G82" s="4">
        <v>135.23</v>
      </c>
      <c r="H82" s="4">
        <v>42</v>
      </c>
      <c r="I82" s="4">
        <v>10</v>
      </c>
      <c r="J82" s="4">
        <v>357.86</v>
      </c>
      <c r="K82" s="4">
        <v>237.1</v>
      </c>
      <c r="L82" s="4">
        <v>2253.9</v>
      </c>
      <c r="M82" s="4">
        <v>450.78</v>
      </c>
      <c r="N82" s="3">
        <v>5</v>
      </c>
      <c r="O82" s="3" t="s">
        <v>128</v>
      </c>
    </row>
    <row r="83" spans="1:15">
      <c r="A83" s="3" t="s">
        <v>203</v>
      </c>
      <c r="B83" s="5">
        <v>46239</v>
      </c>
      <c r="C83" s="3" t="s">
        <v>64</v>
      </c>
      <c r="D83" s="4">
        <v>2545.7</v>
      </c>
      <c r="E83" s="4">
        <v>1713.87</v>
      </c>
      <c r="F83" s="4">
        <v>0</v>
      </c>
      <c r="G83" s="4">
        <v>305.48</v>
      </c>
      <c r="H83" s="4">
        <v>42</v>
      </c>
      <c r="I83" s="4">
        <v>0</v>
      </c>
      <c r="J83" s="4">
        <v>484.35</v>
      </c>
      <c r="K83" s="4">
        <v>100.3</v>
      </c>
      <c r="L83" s="4">
        <v>2545.7</v>
      </c>
      <c r="M83" s="4">
        <v>0</v>
      </c>
      <c r="N83" s="3">
        <v>4</v>
      </c>
      <c r="O83" s="3" t="s">
        <v>204</v>
      </c>
    </row>
    <row r="84" spans="1:15">
      <c r="A84" s="3" t="s">
        <v>205</v>
      </c>
      <c r="B84" s="5">
        <v>46246</v>
      </c>
      <c r="C84" s="3" t="s">
        <v>67</v>
      </c>
      <c r="D84" s="4">
        <v>36</v>
      </c>
      <c r="E84" s="4">
        <v>23.16</v>
      </c>
      <c r="F84" s="4">
        <v>0</v>
      </c>
      <c r="G84" s="4">
        <v>0.36</v>
      </c>
      <c r="H84" s="4">
        <v>6.5</v>
      </c>
      <c r="I84" s="4">
        <v>0</v>
      </c>
      <c r="J84" s="4">
        <v>5.98</v>
      </c>
      <c r="K84" s="4">
        <v>0</v>
      </c>
      <c r="L84" s="4">
        <v>36</v>
      </c>
      <c r="M84" s="4">
        <v>0</v>
      </c>
      <c r="N84" s="3">
        <v>4</v>
      </c>
      <c r="O84" s="3" t="s">
        <v>130</v>
      </c>
    </row>
    <row r="85" spans="1:15">
      <c r="A85" s="3" t="s">
        <v>206</v>
      </c>
      <c r="B85" s="5">
        <v>46260</v>
      </c>
      <c r="C85" s="3" t="s">
        <v>70</v>
      </c>
      <c r="D85" s="4">
        <v>738.65</v>
      </c>
      <c r="E85" s="4">
        <v>568.3200000000001</v>
      </c>
      <c r="F85" s="4">
        <v>0</v>
      </c>
      <c r="G85" s="4">
        <v>44.32</v>
      </c>
      <c r="H85" s="4">
        <v>42</v>
      </c>
      <c r="I85" s="4">
        <v>0</v>
      </c>
      <c r="J85" s="4">
        <v>84.01000000000001</v>
      </c>
      <c r="K85" s="4">
        <v>130.35</v>
      </c>
      <c r="L85" s="4">
        <v>738.65</v>
      </c>
      <c r="M85" s="4">
        <v>0</v>
      </c>
      <c r="N85" s="3">
        <v>1</v>
      </c>
      <c r="O85" s="3" t="s">
        <v>134</v>
      </c>
    </row>
    <row r="86" spans="1:15">
      <c r="A86" s="3" t="s">
        <v>207</v>
      </c>
      <c r="B86" s="5">
        <v>46267</v>
      </c>
      <c r="C86" s="3" t="s">
        <v>64</v>
      </c>
      <c r="D86" s="4">
        <v>1245.1</v>
      </c>
      <c r="E86" s="4">
        <v>965.38</v>
      </c>
      <c r="F86" s="4">
        <v>0</v>
      </c>
      <c r="G86" s="4">
        <v>149.41</v>
      </c>
      <c r="H86" s="4">
        <v>42</v>
      </c>
      <c r="I86" s="4">
        <v>0</v>
      </c>
      <c r="J86" s="4">
        <v>88.31</v>
      </c>
      <c r="K86" s="4">
        <v>68.90000000000001</v>
      </c>
      <c r="L86" s="4">
        <v>1245.1</v>
      </c>
      <c r="M86" s="4">
        <v>0</v>
      </c>
      <c r="N86" s="3">
        <v>3</v>
      </c>
      <c r="O86" s="3" t="s">
        <v>136</v>
      </c>
    </row>
    <row r="87" spans="1:15">
      <c r="A87" s="3" t="s">
        <v>208</v>
      </c>
      <c r="B87" s="5">
        <v>46274</v>
      </c>
      <c r="C87" s="3" t="s">
        <v>67</v>
      </c>
      <c r="D87" s="4">
        <v>60.19</v>
      </c>
      <c r="E87" s="4">
        <v>50.8</v>
      </c>
      <c r="F87" s="4">
        <v>5.08</v>
      </c>
      <c r="G87" s="4">
        <v>0.68</v>
      </c>
      <c r="H87" s="4">
        <v>6.5</v>
      </c>
      <c r="I87" s="4">
        <v>5</v>
      </c>
      <c r="J87" s="4">
        <v>2.29</v>
      </c>
      <c r="K87" s="4">
        <v>3.6</v>
      </c>
      <c r="L87" s="4">
        <v>68.40000000000001</v>
      </c>
      <c r="M87" s="4">
        <v>8.210000000000001</v>
      </c>
      <c r="N87" s="3">
        <v>5</v>
      </c>
      <c r="O87" s="3" t="s">
        <v>138</v>
      </c>
    </row>
    <row r="88" spans="1:15">
      <c r="A88" s="3" t="s">
        <v>209</v>
      </c>
      <c r="B88" s="5">
        <v>46295</v>
      </c>
      <c r="C88" s="3" t="s">
        <v>64</v>
      </c>
      <c r="D88" s="4">
        <v>99</v>
      </c>
      <c r="E88" s="4">
        <v>60.39</v>
      </c>
      <c r="F88" s="4">
        <v>0</v>
      </c>
      <c r="G88" s="4">
        <v>11.88</v>
      </c>
      <c r="H88" s="4">
        <v>6.5</v>
      </c>
      <c r="I88" s="4">
        <v>0</v>
      </c>
      <c r="J88" s="4">
        <v>20.23</v>
      </c>
      <c r="K88" s="4">
        <v>0</v>
      </c>
      <c r="L88" s="4">
        <v>99</v>
      </c>
      <c r="M88" s="4">
        <v>0</v>
      </c>
      <c r="N88" s="3">
        <v>3</v>
      </c>
      <c r="O88" s="3" t="s">
        <v>144</v>
      </c>
    </row>
    <row r="89" spans="1:15">
      <c r="A89" s="3" t="s">
        <v>210</v>
      </c>
      <c r="B89" s="5">
        <v>46210</v>
      </c>
      <c r="C89" s="3" t="s">
        <v>67</v>
      </c>
      <c r="D89" s="4">
        <v>2369.1</v>
      </c>
      <c r="E89" s="4">
        <v>1931.65</v>
      </c>
      <c r="F89" s="4">
        <v>0</v>
      </c>
      <c r="G89" s="4">
        <v>23.69</v>
      </c>
      <c r="H89" s="4">
        <v>42</v>
      </c>
      <c r="I89" s="4">
        <v>0</v>
      </c>
      <c r="J89" s="4">
        <v>371.76</v>
      </c>
      <c r="K89" s="4">
        <v>400.9</v>
      </c>
      <c r="L89" s="4">
        <v>2369.1</v>
      </c>
      <c r="M89" s="4">
        <v>0</v>
      </c>
      <c r="N89" s="3">
        <v>3</v>
      </c>
      <c r="O89" s="3" t="s">
        <v>146</v>
      </c>
    </row>
    <row r="90" spans="1:15">
      <c r="A90" s="3" t="s">
        <v>211</v>
      </c>
      <c r="B90" s="5">
        <v>46217</v>
      </c>
      <c r="C90" s="3" t="s">
        <v>77</v>
      </c>
      <c r="D90" s="4">
        <v>932.45</v>
      </c>
      <c r="E90" s="4">
        <v>699.54</v>
      </c>
      <c r="F90" s="4">
        <v>0</v>
      </c>
      <c r="G90" s="4">
        <v>18.65</v>
      </c>
      <c r="H90" s="4">
        <v>42</v>
      </c>
      <c r="I90" s="4">
        <v>0</v>
      </c>
      <c r="J90" s="4">
        <v>172.26</v>
      </c>
      <c r="K90" s="4">
        <v>140.55</v>
      </c>
      <c r="L90" s="4">
        <v>932.45</v>
      </c>
      <c r="M90" s="4">
        <v>0</v>
      </c>
      <c r="N90" s="3">
        <v>7</v>
      </c>
      <c r="O90" s="3" t="s">
        <v>148</v>
      </c>
    </row>
    <row r="91" spans="1:15">
      <c r="A91" s="3" t="s">
        <v>212</v>
      </c>
      <c r="B91" s="5">
        <v>46224</v>
      </c>
      <c r="C91" s="3" t="s">
        <v>70</v>
      </c>
      <c r="D91" s="4">
        <v>797.05</v>
      </c>
      <c r="E91" s="4">
        <v>535.98</v>
      </c>
      <c r="F91" s="4">
        <v>0</v>
      </c>
      <c r="G91" s="4">
        <v>47.82</v>
      </c>
      <c r="H91" s="4">
        <v>42</v>
      </c>
      <c r="I91" s="4">
        <v>0</v>
      </c>
      <c r="J91" s="4">
        <v>171.25</v>
      </c>
      <c r="K91" s="4">
        <v>41.95</v>
      </c>
      <c r="L91" s="4">
        <v>797.05</v>
      </c>
      <c r="M91" s="4">
        <v>0</v>
      </c>
      <c r="N91" s="3">
        <v>1</v>
      </c>
      <c r="O91" s="3" t="s">
        <v>150</v>
      </c>
    </row>
    <row r="92" spans="1:15">
      <c r="A92" s="3" t="s">
        <v>213</v>
      </c>
      <c r="B92" s="5">
        <v>46231</v>
      </c>
      <c r="C92" s="3" t="s">
        <v>64</v>
      </c>
      <c r="D92" s="4">
        <v>13.68</v>
      </c>
      <c r="E92" s="4">
        <v>10.83</v>
      </c>
      <c r="F92" s="4">
        <v>1.08</v>
      </c>
      <c r="G92" s="4">
        <v>2.05</v>
      </c>
      <c r="H92" s="4">
        <v>6.5</v>
      </c>
      <c r="I92" s="4">
        <v>10</v>
      </c>
      <c r="J92" s="4">
        <v>-14.62</v>
      </c>
      <c r="K92" s="4">
        <v>0.9</v>
      </c>
      <c r="L92" s="4">
        <v>17.1</v>
      </c>
      <c r="M92" s="4">
        <v>3.42</v>
      </c>
      <c r="N92" s="3">
        <v>3</v>
      </c>
      <c r="O92" s="3" t="s">
        <v>152</v>
      </c>
    </row>
    <row r="93" spans="1:15">
      <c r="A93" s="3" t="s">
        <v>214</v>
      </c>
      <c r="B93" s="5">
        <v>46252</v>
      </c>
      <c r="C93" s="3" t="s">
        <v>70</v>
      </c>
      <c r="D93" s="4">
        <v>1166.1</v>
      </c>
      <c r="E93" s="4">
        <v>789.64</v>
      </c>
      <c r="F93" s="4">
        <v>0</v>
      </c>
      <c r="G93" s="4">
        <v>69.97</v>
      </c>
      <c r="H93" s="4">
        <v>42</v>
      </c>
      <c r="I93" s="4">
        <v>0</v>
      </c>
      <c r="J93" s="4">
        <v>264.49</v>
      </c>
      <c r="K93" s="4">
        <v>83.90000000000001</v>
      </c>
      <c r="L93" s="4">
        <v>1166.1</v>
      </c>
      <c r="M93" s="4">
        <v>0</v>
      </c>
      <c r="N93" s="3">
        <v>5</v>
      </c>
      <c r="O93" s="3" t="s">
        <v>156</v>
      </c>
    </row>
    <row r="94" spans="1:15">
      <c r="A94" s="3" t="s">
        <v>215</v>
      </c>
      <c r="B94" s="5">
        <v>46259</v>
      </c>
      <c r="C94" s="3" t="s">
        <v>64</v>
      </c>
      <c r="D94" s="4">
        <v>82.8</v>
      </c>
      <c r="E94" s="4">
        <v>49.84</v>
      </c>
      <c r="F94" s="4">
        <v>0</v>
      </c>
      <c r="G94" s="4">
        <v>9.94</v>
      </c>
      <c r="H94" s="4">
        <v>6.5</v>
      </c>
      <c r="I94" s="4">
        <v>0</v>
      </c>
      <c r="J94" s="4">
        <v>16.52</v>
      </c>
      <c r="K94" s="4">
        <v>9.199999999999999</v>
      </c>
      <c r="L94" s="4">
        <v>82.8</v>
      </c>
      <c r="M94" s="4">
        <v>0</v>
      </c>
      <c r="N94" s="3">
        <v>4</v>
      </c>
      <c r="O94" s="3" t="s">
        <v>158</v>
      </c>
    </row>
    <row r="95" spans="1:15">
      <c r="A95" s="3" t="s">
        <v>216</v>
      </c>
      <c r="B95" s="5">
        <v>46266</v>
      </c>
      <c r="C95" s="3" t="s">
        <v>67</v>
      </c>
      <c r="D95" s="4">
        <v>1549.5</v>
      </c>
      <c r="E95" s="4">
        <v>1177.56</v>
      </c>
      <c r="F95" s="4">
        <v>0</v>
      </c>
      <c r="G95" s="4">
        <v>15.5</v>
      </c>
      <c r="H95" s="4">
        <v>42</v>
      </c>
      <c r="I95" s="4">
        <v>0</v>
      </c>
      <c r="J95" s="4">
        <v>314.44</v>
      </c>
      <c r="K95" s="4">
        <v>193.5</v>
      </c>
      <c r="L95" s="4">
        <v>1549.5</v>
      </c>
      <c r="M95" s="4">
        <v>0</v>
      </c>
      <c r="N95" s="3">
        <v>2</v>
      </c>
      <c r="O95" s="3" t="s">
        <v>217</v>
      </c>
    </row>
    <row r="96" spans="1:15">
      <c r="A96" s="3" t="s">
        <v>218</v>
      </c>
      <c r="B96" s="5">
        <v>46273</v>
      </c>
      <c r="C96" s="3" t="s">
        <v>77</v>
      </c>
      <c r="D96" s="4">
        <v>1310.8</v>
      </c>
      <c r="E96" s="4">
        <v>734.6</v>
      </c>
      <c r="F96" s="4">
        <v>0</v>
      </c>
      <c r="G96" s="4">
        <v>26.22</v>
      </c>
      <c r="H96" s="4">
        <v>42</v>
      </c>
      <c r="I96" s="4">
        <v>0</v>
      </c>
      <c r="J96" s="4">
        <v>507.98</v>
      </c>
      <c r="K96" s="4">
        <v>4.2</v>
      </c>
      <c r="L96" s="4">
        <v>1310.8</v>
      </c>
      <c r="M96" s="4">
        <v>0</v>
      </c>
      <c r="N96" s="3">
        <v>4</v>
      </c>
      <c r="O96" s="3" t="s">
        <v>219</v>
      </c>
    </row>
    <row r="97" spans="1:15">
      <c r="A97" s="3" t="s">
        <v>220</v>
      </c>
      <c r="B97" s="5">
        <v>46280</v>
      </c>
      <c r="C97" s="3" t="s">
        <v>70</v>
      </c>
      <c r="D97" s="4">
        <v>1295.58</v>
      </c>
      <c r="E97" s="4">
        <v>794.3200000000001</v>
      </c>
      <c r="F97" s="4">
        <v>79.43000000000001</v>
      </c>
      <c r="G97" s="4">
        <v>88.34</v>
      </c>
      <c r="H97" s="4">
        <v>42</v>
      </c>
      <c r="I97" s="4">
        <v>5</v>
      </c>
      <c r="J97" s="4">
        <v>445.35</v>
      </c>
      <c r="K97" s="4">
        <v>37.75</v>
      </c>
      <c r="L97" s="4">
        <v>1472.25</v>
      </c>
      <c r="M97" s="4">
        <v>176.67</v>
      </c>
      <c r="N97" s="3">
        <v>2</v>
      </c>
      <c r="O97" s="3" t="s">
        <v>160</v>
      </c>
    </row>
    <row r="98" spans="1:15">
      <c r="A98" s="3" t="s">
        <v>221</v>
      </c>
      <c r="B98" s="5">
        <v>46287</v>
      </c>
      <c r="C98" s="3" t="s">
        <v>64</v>
      </c>
      <c r="D98" s="4">
        <v>2115.15</v>
      </c>
      <c r="E98" s="4">
        <v>1410.93</v>
      </c>
      <c r="F98" s="4">
        <v>0</v>
      </c>
      <c r="G98" s="4">
        <v>253.82</v>
      </c>
      <c r="H98" s="4">
        <v>42</v>
      </c>
      <c r="I98" s="4">
        <v>0</v>
      </c>
      <c r="J98" s="4">
        <v>408.4</v>
      </c>
      <c r="K98" s="4">
        <v>232.85</v>
      </c>
      <c r="L98" s="4">
        <v>2115.15</v>
      </c>
      <c r="M98" s="4">
        <v>0</v>
      </c>
      <c r="N98" s="3">
        <v>5</v>
      </c>
      <c r="O98" s="3" t="s">
        <v>222</v>
      </c>
    </row>
    <row r="99" spans="1:15">
      <c r="A99" s="3" t="s">
        <v>223</v>
      </c>
      <c r="B99" s="5">
        <v>46294</v>
      </c>
      <c r="C99" s="3" t="s">
        <v>67</v>
      </c>
      <c r="D99" s="4">
        <v>3294.6</v>
      </c>
      <c r="E99" s="4">
        <v>2476.33</v>
      </c>
      <c r="F99" s="4">
        <v>0</v>
      </c>
      <c r="G99" s="4">
        <v>32.95</v>
      </c>
      <c r="H99" s="4">
        <v>42</v>
      </c>
      <c r="I99" s="4">
        <v>0</v>
      </c>
      <c r="J99" s="4">
        <v>743.3200000000001</v>
      </c>
      <c r="K99" s="4">
        <v>304.4</v>
      </c>
      <c r="L99" s="4">
        <v>3294.6</v>
      </c>
      <c r="M99" s="4">
        <v>0</v>
      </c>
      <c r="N99" s="3">
        <v>3</v>
      </c>
      <c r="O99" s="3" t="s">
        <v>162</v>
      </c>
    </row>
    <row r="100" spans="1:15">
      <c r="A100" s="3" t="s">
        <v>224</v>
      </c>
      <c r="B100" s="5">
        <v>46209</v>
      </c>
      <c r="C100" s="3" t="s">
        <v>77</v>
      </c>
      <c r="D100" s="4">
        <v>63.9</v>
      </c>
      <c r="E100" s="4">
        <v>42.84</v>
      </c>
      <c r="F100" s="4">
        <v>0</v>
      </c>
      <c r="G100" s="4">
        <v>1.28</v>
      </c>
      <c r="H100" s="4">
        <v>6.5</v>
      </c>
      <c r="I100" s="4">
        <v>0</v>
      </c>
      <c r="J100" s="4">
        <v>13.28</v>
      </c>
      <c r="K100" s="4">
        <v>2.1</v>
      </c>
      <c r="L100" s="4">
        <v>63.9</v>
      </c>
      <c r="M100" s="4">
        <v>0</v>
      </c>
      <c r="N100" s="3">
        <v>6</v>
      </c>
      <c r="O100" s="3" t="s">
        <v>164</v>
      </c>
    </row>
    <row r="101" spans="1:15">
      <c r="A101" s="3" t="s">
        <v>225</v>
      </c>
      <c r="B101" s="5">
        <v>46216</v>
      </c>
      <c r="C101" s="3" t="s">
        <v>70</v>
      </c>
      <c r="D101" s="4">
        <v>67.5</v>
      </c>
      <c r="E101" s="4">
        <v>39.84</v>
      </c>
      <c r="F101" s="4">
        <v>0</v>
      </c>
      <c r="G101" s="4">
        <v>4.05</v>
      </c>
      <c r="H101" s="4">
        <v>6.5</v>
      </c>
      <c r="I101" s="4">
        <v>0</v>
      </c>
      <c r="J101" s="4">
        <v>17.11</v>
      </c>
      <c r="K101" s="4">
        <v>7.5</v>
      </c>
      <c r="L101" s="4">
        <v>67.5</v>
      </c>
      <c r="M101" s="4">
        <v>0</v>
      </c>
      <c r="N101" s="3">
        <v>3</v>
      </c>
      <c r="O101" s="3" t="s">
        <v>166</v>
      </c>
    </row>
    <row r="102" spans="1:15">
      <c r="A102" s="3" t="s">
        <v>226</v>
      </c>
      <c r="B102" s="5">
        <v>46223</v>
      </c>
      <c r="C102" s="3" t="s">
        <v>64</v>
      </c>
      <c r="D102" s="4">
        <v>1643.24</v>
      </c>
      <c r="E102" s="4">
        <v>1486.71</v>
      </c>
      <c r="F102" s="4">
        <v>148.67</v>
      </c>
      <c r="G102" s="4">
        <v>246.49</v>
      </c>
      <c r="H102" s="4">
        <v>42</v>
      </c>
      <c r="I102" s="4">
        <v>10</v>
      </c>
      <c r="J102" s="4">
        <v>6.71</v>
      </c>
      <c r="K102" s="4">
        <v>354.95</v>
      </c>
      <c r="L102" s="4">
        <v>2054.05</v>
      </c>
      <c r="M102" s="4">
        <v>410.81</v>
      </c>
      <c r="N102" s="3">
        <v>6</v>
      </c>
      <c r="O102" s="3" t="s">
        <v>65</v>
      </c>
    </row>
    <row r="103" spans="1:15">
      <c r="A103" s="3" t="s">
        <v>227</v>
      </c>
      <c r="B103" s="5">
        <v>46230</v>
      </c>
      <c r="C103" s="3" t="s">
        <v>67</v>
      </c>
      <c r="D103" s="4">
        <v>1621.65</v>
      </c>
      <c r="E103" s="4">
        <v>1082.42</v>
      </c>
      <c r="F103" s="4">
        <v>0</v>
      </c>
      <c r="G103" s="4">
        <v>16.22</v>
      </c>
      <c r="H103" s="4">
        <v>42</v>
      </c>
      <c r="I103" s="4">
        <v>0</v>
      </c>
      <c r="J103" s="4">
        <v>481.01</v>
      </c>
      <c r="K103" s="4">
        <v>139.35</v>
      </c>
      <c r="L103" s="4">
        <v>1621.65</v>
      </c>
      <c r="M103" s="4">
        <v>0</v>
      </c>
      <c r="N103" s="3">
        <v>6</v>
      </c>
      <c r="O103" s="3" t="s">
        <v>68</v>
      </c>
    </row>
    <row r="104" spans="1:15">
      <c r="A104" s="3" t="s">
        <v>228</v>
      </c>
      <c r="B104" s="5">
        <v>46237</v>
      </c>
      <c r="C104" s="3" t="s">
        <v>77</v>
      </c>
      <c r="D104" s="4">
        <v>259.4</v>
      </c>
      <c r="E104" s="4">
        <v>151.9</v>
      </c>
      <c r="F104" s="4">
        <v>0</v>
      </c>
      <c r="G104" s="4">
        <v>5.19</v>
      </c>
      <c r="H104" s="4">
        <v>6.5</v>
      </c>
      <c r="I104" s="4">
        <v>0</v>
      </c>
      <c r="J104" s="4">
        <v>95.81</v>
      </c>
      <c r="K104" s="4">
        <v>18.6</v>
      </c>
      <c r="L104" s="4">
        <v>259.4</v>
      </c>
      <c r="M104" s="4">
        <v>0</v>
      </c>
      <c r="N104" s="3">
        <v>11</v>
      </c>
      <c r="O104" s="3" t="s">
        <v>170</v>
      </c>
    </row>
    <row r="105" spans="1:15">
      <c r="A105" s="3" t="s">
        <v>229</v>
      </c>
      <c r="B105" s="5">
        <v>46258</v>
      </c>
      <c r="C105" s="3" t="s">
        <v>67</v>
      </c>
      <c r="D105" s="4">
        <v>1331.5</v>
      </c>
      <c r="E105" s="4">
        <v>879.12</v>
      </c>
      <c r="F105" s="4">
        <v>0</v>
      </c>
      <c r="G105" s="4">
        <v>13.32</v>
      </c>
      <c r="H105" s="4">
        <v>42</v>
      </c>
      <c r="I105" s="4">
        <v>0</v>
      </c>
      <c r="J105" s="4">
        <v>397.06</v>
      </c>
      <c r="K105" s="4">
        <v>2.5</v>
      </c>
      <c r="L105" s="4">
        <v>1331.5</v>
      </c>
      <c r="M105" s="4">
        <v>0</v>
      </c>
      <c r="N105" s="3">
        <v>2</v>
      </c>
      <c r="O105" s="3" t="s">
        <v>75</v>
      </c>
    </row>
    <row r="106" spans="1:15">
      <c r="A106" s="3" t="s">
        <v>230</v>
      </c>
      <c r="B106" s="5">
        <v>46272</v>
      </c>
      <c r="C106" s="3" t="s">
        <v>70</v>
      </c>
      <c r="D106" s="4">
        <v>794.6</v>
      </c>
      <c r="E106" s="4">
        <v>481.28</v>
      </c>
      <c r="F106" s="4">
        <v>0</v>
      </c>
      <c r="G106" s="4">
        <v>47.68</v>
      </c>
      <c r="H106" s="4">
        <v>42</v>
      </c>
      <c r="I106" s="4">
        <v>0</v>
      </c>
      <c r="J106" s="4">
        <v>223.64</v>
      </c>
      <c r="K106" s="4">
        <v>41.4</v>
      </c>
      <c r="L106" s="4">
        <v>794.6</v>
      </c>
      <c r="M106" s="4">
        <v>0</v>
      </c>
      <c r="N106" s="3">
        <v>2</v>
      </c>
      <c r="O106" s="3" t="s">
        <v>80</v>
      </c>
    </row>
    <row r="107" spans="1:15">
      <c r="A107" s="3" t="s">
        <v>231</v>
      </c>
      <c r="B107" s="5">
        <v>46279</v>
      </c>
      <c r="C107" s="3" t="s">
        <v>64</v>
      </c>
      <c r="D107" s="4">
        <v>692.21</v>
      </c>
      <c r="E107" s="4">
        <v>476.02</v>
      </c>
      <c r="F107" s="4">
        <v>47.6</v>
      </c>
      <c r="G107" s="4">
        <v>94.39</v>
      </c>
      <c r="H107" s="4">
        <v>42</v>
      </c>
      <c r="I107" s="4">
        <v>5</v>
      </c>
      <c r="J107" s="4">
        <v>122.4</v>
      </c>
      <c r="K107" s="4">
        <v>41.4</v>
      </c>
      <c r="L107" s="4">
        <v>786.6</v>
      </c>
      <c r="M107" s="4">
        <v>94.39</v>
      </c>
      <c r="N107" s="3">
        <v>1</v>
      </c>
      <c r="O107" s="3" t="s">
        <v>82</v>
      </c>
    </row>
    <row r="108" spans="1:15">
      <c r="A108" s="3" t="s">
        <v>232</v>
      </c>
      <c r="B108" s="5">
        <v>46286</v>
      </c>
      <c r="C108" s="3" t="s">
        <v>67</v>
      </c>
      <c r="D108" s="4">
        <v>695.3</v>
      </c>
      <c r="E108" s="4">
        <v>491.92</v>
      </c>
      <c r="F108" s="4">
        <v>0</v>
      </c>
      <c r="G108" s="4">
        <v>6.95</v>
      </c>
      <c r="H108" s="4">
        <v>42</v>
      </c>
      <c r="I108" s="4">
        <v>0</v>
      </c>
      <c r="J108" s="4">
        <v>154.43</v>
      </c>
      <c r="K108" s="4">
        <v>122.7</v>
      </c>
      <c r="L108" s="4">
        <v>695.3</v>
      </c>
      <c r="M108" s="4">
        <v>0</v>
      </c>
      <c r="N108" s="3">
        <v>1</v>
      </c>
      <c r="O108" s="3" t="s">
        <v>84</v>
      </c>
    </row>
    <row r="109" spans="1:15">
      <c r="A109" s="3" t="s">
        <v>233</v>
      </c>
      <c r="B109" s="5">
        <v>46293</v>
      </c>
      <c r="C109" s="3" t="s">
        <v>77</v>
      </c>
      <c r="D109" s="4">
        <v>1309</v>
      </c>
      <c r="E109" s="4">
        <v>865.84</v>
      </c>
      <c r="F109" s="4">
        <v>0</v>
      </c>
      <c r="G109" s="4">
        <v>26.18</v>
      </c>
      <c r="H109" s="4">
        <v>42</v>
      </c>
      <c r="I109" s="4">
        <v>0</v>
      </c>
      <c r="J109" s="4">
        <v>374.98</v>
      </c>
      <c r="K109" s="4">
        <v>0</v>
      </c>
      <c r="L109" s="4">
        <v>1309</v>
      </c>
      <c r="M109" s="4">
        <v>0</v>
      </c>
      <c r="N109" s="3">
        <v>1</v>
      </c>
      <c r="O109" s="3" t="s">
        <v>86</v>
      </c>
    </row>
    <row r="110" spans="1:15">
      <c r="A110" s="3" t="s">
        <v>234</v>
      </c>
      <c r="B110" s="5">
        <v>46208</v>
      </c>
      <c r="C110" s="3" t="s">
        <v>70</v>
      </c>
      <c r="D110" s="4">
        <v>95.40000000000001</v>
      </c>
      <c r="E110" s="4">
        <v>60.82</v>
      </c>
      <c r="F110" s="4">
        <v>0</v>
      </c>
      <c r="G110" s="4">
        <v>5.72</v>
      </c>
      <c r="H110" s="4">
        <v>6.5</v>
      </c>
      <c r="I110" s="4">
        <v>0</v>
      </c>
      <c r="J110" s="4">
        <v>22.36</v>
      </c>
      <c r="K110" s="4">
        <v>2.6</v>
      </c>
      <c r="L110" s="4">
        <v>95.40000000000001</v>
      </c>
      <c r="M110" s="4">
        <v>0</v>
      </c>
      <c r="N110" s="3">
        <v>6</v>
      </c>
      <c r="O110" s="3" t="s">
        <v>88</v>
      </c>
    </row>
    <row r="111" spans="1:15">
      <c r="A111" s="3" t="s">
        <v>235</v>
      </c>
      <c r="B111" s="5">
        <v>46215</v>
      </c>
      <c r="C111" s="3" t="s">
        <v>64</v>
      </c>
      <c r="D111" s="4">
        <v>494.1</v>
      </c>
      <c r="E111" s="4">
        <v>331.74</v>
      </c>
      <c r="F111" s="4">
        <v>0</v>
      </c>
      <c r="G111" s="4">
        <v>59.29</v>
      </c>
      <c r="H111" s="4">
        <v>42</v>
      </c>
      <c r="I111" s="4">
        <v>0</v>
      </c>
      <c r="J111" s="4">
        <v>61.07</v>
      </c>
      <c r="K111" s="4">
        <v>54.9</v>
      </c>
      <c r="L111" s="4">
        <v>494.1</v>
      </c>
      <c r="M111" s="4">
        <v>0</v>
      </c>
      <c r="N111" s="3">
        <v>1</v>
      </c>
      <c r="O111" s="3" t="s">
        <v>90</v>
      </c>
    </row>
    <row r="112" spans="1:15">
      <c r="A112" s="3" t="s">
        <v>236</v>
      </c>
      <c r="B112" s="5">
        <v>46222</v>
      </c>
      <c r="C112" s="3" t="s">
        <v>67</v>
      </c>
      <c r="D112" s="4">
        <v>1117.2</v>
      </c>
      <c r="E112" s="4">
        <v>1030.48</v>
      </c>
      <c r="F112" s="4">
        <v>103.05</v>
      </c>
      <c r="G112" s="4">
        <v>13.96</v>
      </c>
      <c r="H112" s="4">
        <v>42</v>
      </c>
      <c r="I112" s="4">
        <v>10</v>
      </c>
      <c r="J112" s="4">
        <v>123.81</v>
      </c>
      <c r="K112" s="4">
        <v>73.5</v>
      </c>
      <c r="L112" s="4">
        <v>1396.5</v>
      </c>
      <c r="M112" s="4">
        <v>279.3</v>
      </c>
      <c r="N112" s="3">
        <v>1</v>
      </c>
      <c r="O112" s="3" t="s">
        <v>92</v>
      </c>
    </row>
    <row r="113" spans="1:15">
      <c r="A113" s="3" t="s">
        <v>237</v>
      </c>
      <c r="B113" s="5">
        <v>46229</v>
      </c>
      <c r="C113" s="3" t="s">
        <v>77</v>
      </c>
      <c r="D113" s="4">
        <v>867.6</v>
      </c>
      <c r="E113" s="4">
        <v>622.35</v>
      </c>
      <c r="F113" s="4">
        <v>0</v>
      </c>
      <c r="G113" s="4">
        <v>17.35</v>
      </c>
      <c r="H113" s="4">
        <v>42</v>
      </c>
      <c r="I113" s="4">
        <v>0</v>
      </c>
      <c r="J113" s="4">
        <v>185.9</v>
      </c>
      <c r="K113" s="4">
        <v>96.40000000000001</v>
      </c>
      <c r="L113" s="4">
        <v>867.6</v>
      </c>
      <c r="M113" s="4">
        <v>0</v>
      </c>
      <c r="N113" s="3">
        <v>4</v>
      </c>
      <c r="O113" s="3" t="s">
        <v>94</v>
      </c>
    </row>
    <row r="114" spans="1:15">
      <c r="A114" s="3" t="s">
        <v>238</v>
      </c>
      <c r="B114" s="5">
        <v>46236</v>
      </c>
      <c r="C114" s="3" t="s">
        <v>70</v>
      </c>
      <c r="D114" s="4">
        <v>1495.8</v>
      </c>
      <c r="E114" s="4">
        <v>1052.11</v>
      </c>
      <c r="F114" s="4">
        <v>0</v>
      </c>
      <c r="G114" s="4">
        <v>89.75</v>
      </c>
      <c r="H114" s="4">
        <v>42</v>
      </c>
      <c r="I114" s="4">
        <v>0</v>
      </c>
      <c r="J114" s="4">
        <v>311.94</v>
      </c>
      <c r="K114" s="4">
        <v>166.2</v>
      </c>
      <c r="L114" s="4">
        <v>1495.8</v>
      </c>
      <c r="M114" s="4">
        <v>0</v>
      </c>
      <c r="N114" s="3">
        <v>4</v>
      </c>
      <c r="O114" s="3" t="s">
        <v>96</v>
      </c>
    </row>
    <row r="115" spans="1:15">
      <c r="A115" s="3" t="s">
        <v>239</v>
      </c>
      <c r="B115" s="5">
        <v>46243</v>
      </c>
      <c r="C115" s="3" t="s">
        <v>64</v>
      </c>
      <c r="D115" s="4">
        <v>62.7</v>
      </c>
      <c r="E115" s="4">
        <v>40.26</v>
      </c>
      <c r="F115" s="4">
        <v>0</v>
      </c>
      <c r="G115" s="4">
        <v>7.52</v>
      </c>
      <c r="H115" s="4">
        <v>6.5</v>
      </c>
      <c r="I115" s="4">
        <v>0</v>
      </c>
      <c r="J115" s="4">
        <v>8.42</v>
      </c>
      <c r="K115" s="4">
        <v>3.3</v>
      </c>
      <c r="L115" s="4">
        <v>62.7</v>
      </c>
      <c r="M115" s="4">
        <v>0</v>
      </c>
      <c r="N115" s="3">
        <v>2</v>
      </c>
      <c r="O115" s="3" t="s">
        <v>98</v>
      </c>
    </row>
    <row r="116" spans="1:15">
      <c r="A116" s="3" t="s">
        <v>240</v>
      </c>
      <c r="B116" s="5">
        <v>46250</v>
      </c>
      <c r="C116" s="3" t="s">
        <v>67</v>
      </c>
      <c r="D116" s="4">
        <v>1765.15</v>
      </c>
      <c r="E116" s="4">
        <v>1188.46</v>
      </c>
      <c r="F116" s="4">
        <v>0</v>
      </c>
      <c r="G116" s="4">
        <v>17.65</v>
      </c>
      <c r="H116" s="4">
        <v>42</v>
      </c>
      <c r="I116" s="4">
        <v>0</v>
      </c>
      <c r="J116" s="4">
        <v>517.04</v>
      </c>
      <c r="K116" s="4">
        <v>125.85</v>
      </c>
      <c r="L116" s="4">
        <v>1765.15</v>
      </c>
      <c r="M116" s="4">
        <v>0</v>
      </c>
      <c r="N116" s="3">
        <v>2</v>
      </c>
      <c r="O116" s="3" t="s">
        <v>100</v>
      </c>
    </row>
    <row r="117" spans="1:15">
      <c r="A117" s="3" t="s">
        <v>241</v>
      </c>
      <c r="B117" s="5">
        <v>46257</v>
      </c>
      <c r="C117" s="3" t="s">
        <v>77</v>
      </c>
      <c r="D117" s="4">
        <v>1168.55</v>
      </c>
      <c r="E117" s="4">
        <v>990.52</v>
      </c>
      <c r="F117" s="4">
        <v>99.05</v>
      </c>
      <c r="G117" s="4">
        <v>26.56</v>
      </c>
      <c r="H117" s="4">
        <v>42</v>
      </c>
      <c r="I117" s="4">
        <v>5</v>
      </c>
      <c r="J117" s="4">
        <v>203.52</v>
      </c>
      <c r="K117" s="4">
        <v>233.1</v>
      </c>
      <c r="L117" s="4">
        <v>1327.9</v>
      </c>
      <c r="M117" s="4">
        <v>159.35</v>
      </c>
      <c r="N117" s="3">
        <v>2</v>
      </c>
      <c r="O117" s="3" t="s">
        <v>102</v>
      </c>
    </row>
    <row r="118" spans="1:15">
      <c r="A118" s="3" t="s">
        <v>242</v>
      </c>
      <c r="B118" s="5">
        <v>46264</v>
      </c>
      <c r="C118" s="3" t="s">
        <v>70</v>
      </c>
      <c r="D118" s="4">
        <v>847.8</v>
      </c>
      <c r="E118" s="4">
        <v>634.38</v>
      </c>
      <c r="F118" s="4">
        <v>0</v>
      </c>
      <c r="G118" s="4">
        <v>50.87</v>
      </c>
      <c r="H118" s="4">
        <v>42</v>
      </c>
      <c r="I118" s="4">
        <v>0</v>
      </c>
      <c r="J118" s="4">
        <v>120.55</v>
      </c>
      <c r="K118" s="4">
        <v>94.2</v>
      </c>
      <c r="L118" s="4">
        <v>847.8</v>
      </c>
      <c r="M118" s="4">
        <v>0</v>
      </c>
      <c r="N118" s="3">
        <v>1</v>
      </c>
      <c r="O118" s="3" t="s">
        <v>185</v>
      </c>
    </row>
    <row r="119" spans="1:15">
      <c r="A119" s="3" t="s">
        <v>243</v>
      </c>
      <c r="B119" s="5">
        <v>46271</v>
      </c>
      <c r="C119" s="3" t="s">
        <v>64</v>
      </c>
      <c r="D119" s="4">
        <v>2952.6</v>
      </c>
      <c r="E119" s="4">
        <v>1972.1</v>
      </c>
      <c r="F119" s="4">
        <v>0</v>
      </c>
      <c r="G119" s="4">
        <v>354.31</v>
      </c>
      <c r="H119" s="4">
        <v>42</v>
      </c>
      <c r="I119" s="4">
        <v>0</v>
      </c>
      <c r="J119" s="4">
        <v>584.1900000000001</v>
      </c>
      <c r="K119" s="4">
        <v>155.4</v>
      </c>
      <c r="L119" s="4">
        <v>2952.6</v>
      </c>
      <c r="M119" s="4">
        <v>0</v>
      </c>
      <c r="N119" s="3">
        <v>2</v>
      </c>
      <c r="O119" s="3" t="s">
        <v>104</v>
      </c>
    </row>
    <row r="120" spans="1:15">
      <c r="A120" s="3" t="s">
        <v>244</v>
      </c>
      <c r="B120" s="5">
        <v>46278</v>
      </c>
      <c r="C120" s="3" t="s">
        <v>67</v>
      </c>
      <c r="D120" s="4">
        <v>1346.95</v>
      </c>
      <c r="E120" s="4">
        <v>1058.86</v>
      </c>
      <c r="F120" s="4">
        <v>0</v>
      </c>
      <c r="G120" s="4">
        <v>13.47</v>
      </c>
      <c r="H120" s="4">
        <v>42</v>
      </c>
      <c r="I120" s="4">
        <v>0</v>
      </c>
      <c r="J120" s="4">
        <v>232.62</v>
      </c>
      <c r="K120" s="4">
        <v>199.05</v>
      </c>
      <c r="L120" s="4">
        <v>1346.95</v>
      </c>
      <c r="M120" s="4">
        <v>0</v>
      </c>
      <c r="N120" s="3">
        <v>6</v>
      </c>
      <c r="O120" s="3" t="s">
        <v>106</v>
      </c>
    </row>
    <row r="121" spans="1:15">
      <c r="A121" s="3" t="s">
        <v>245</v>
      </c>
      <c r="B121" s="5">
        <v>46285</v>
      </c>
      <c r="C121" s="3" t="s">
        <v>77</v>
      </c>
      <c r="D121" s="4">
        <v>718.1</v>
      </c>
      <c r="E121" s="4">
        <v>462.86</v>
      </c>
      <c r="F121" s="4">
        <v>0</v>
      </c>
      <c r="G121" s="4">
        <v>14.36</v>
      </c>
      <c r="H121" s="4">
        <v>42</v>
      </c>
      <c r="I121" s="4">
        <v>0</v>
      </c>
      <c r="J121" s="4">
        <v>198.88</v>
      </c>
      <c r="K121" s="4">
        <v>62.9</v>
      </c>
      <c r="L121" s="4">
        <v>718.1</v>
      </c>
      <c r="M121" s="4">
        <v>0</v>
      </c>
      <c r="N121" s="3">
        <v>7</v>
      </c>
      <c r="O121" s="3" t="s">
        <v>108</v>
      </c>
    </row>
    <row r="122" spans="1:15">
      <c r="A122" s="3" t="s">
        <v>246</v>
      </c>
      <c r="B122" s="5">
        <v>46292</v>
      </c>
      <c r="C122" s="3" t="s">
        <v>70</v>
      </c>
      <c r="D122" s="4">
        <v>40.5</v>
      </c>
      <c r="E122" s="4">
        <v>29.43</v>
      </c>
      <c r="F122" s="4">
        <v>0</v>
      </c>
      <c r="G122" s="4">
        <v>2.43</v>
      </c>
      <c r="H122" s="4">
        <v>6.5</v>
      </c>
      <c r="I122" s="4">
        <v>0</v>
      </c>
      <c r="J122" s="4">
        <v>2.14</v>
      </c>
      <c r="K122" s="4">
        <v>4.5</v>
      </c>
      <c r="L122" s="4">
        <v>40.5</v>
      </c>
      <c r="M122" s="4">
        <v>0</v>
      </c>
      <c r="N122" s="3">
        <v>3</v>
      </c>
      <c r="O122" s="3" t="s">
        <v>189</v>
      </c>
    </row>
    <row r="123" spans="1:15">
      <c r="A123" s="3" t="s">
        <v>247</v>
      </c>
      <c r="B123" s="5">
        <v>46207</v>
      </c>
      <c r="C123" s="3" t="s">
        <v>64</v>
      </c>
      <c r="D123" s="4">
        <v>78.15000000000001</v>
      </c>
      <c r="E123" s="4">
        <v>50.58</v>
      </c>
      <c r="F123" s="4">
        <v>0</v>
      </c>
      <c r="G123" s="4">
        <v>9.380000000000001</v>
      </c>
      <c r="H123" s="4">
        <v>6.5</v>
      </c>
      <c r="I123" s="4">
        <v>0</v>
      </c>
      <c r="J123" s="4">
        <v>11.69</v>
      </c>
      <c r="K123" s="4">
        <v>5.85</v>
      </c>
      <c r="L123" s="4">
        <v>78.15000000000001</v>
      </c>
      <c r="M123" s="4">
        <v>0</v>
      </c>
      <c r="N123" s="3">
        <v>6</v>
      </c>
      <c r="O123" s="3" t="s">
        <v>110</v>
      </c>
    </row>
    <row r="124" spans="1:15">
      <c r="A124" s="3" t="s">
        <v>248</v>
      </c>
      <c r="B124" s="5">
        <v>46214</v>
      </c>
      <c r="C124" s="3" t="s">
        <v>67</v>
      </c>
      <c r="D124" s="4">
        <v>52</v>
      </c>
      <c r="E124" s="4">
        <v>30.04</v>
      </c>
      <c r="F124" s="4">
        <v>0</v>
      </c>
      <c r="G124" s="4">
        <v>0.52</v>
      </c>
      <c r="H124" s="4">
        <v>6.5</v>
      </c>
      <c r="I124" s="4">
        <v>0</v>
      </c>
      <c r="J124" s="4">
        <v>14.94</v>
      </c>
      <c r="K124" s="4">
        <v>0</v>
      </c>
      <c r="L124" s="4">
        <v>52</v>
      </c>
      <c r="M124" s="4">
        <v>0</v>
      </c>
      <c r="N124" s="3">
        <v>4</v>
      </c>
      <c r="O124" s="3" t="s">
        <v>112</v>
      </c>
    </row>
    <row r="125" spans="1:15">
      <c r="A125" s="3" t="s">
        <v>249</v>
      </c>
      <c r="B125" s="5">
        <v>46228</v>
      </c>
      <c r="C125" s="3" t="s">
        <v>70</v>
      </c>
      <c r="D125" s="4">
        <v>19.55</v>
      </c>
      <c r="E125" s="4">
        <v>16.31</v>
      </c>
      <c r="F125" s="4">
        <v>0</v>
      </c>
      <c r="G125" s="4">
        <v>1.17</v>
      </c>
      <c r="H125" s="4">
        <v>6.5</v>
      </c>
      <c r="I125" s="4">
        <v>0</v>
      </c>
      <c r="J125" s="4">
        <v>-4.43</v>
      </c>
      <c r="K125" s="4">
        <v>3.45</v>
      </c>
      <c r="L125" s="4">
        <v>19.55</v>
      </c>
      <c r="M125" s="4">
        <v>0</v>
      </c>
      <c r="N125" s="3">
        <v>1</v>
      </c>
      <c r="O125" s="3" t="s">
        <v>116</v>
      </c>
    </row>
    <row r="126" spans="1:15">
      <c r="A126" s="3" t="s">
        <v>250</v>
      </c>
      <c r="B126" s="5">
        <v>46235</v>
      </c>
      <c r="C126" s="3" t="s">
        <v>64</v>
      </c>
      <c r="D126" s="4">
        <v>2088.25</v>
      </c>
      <c r="E126" s="4">
        <v>1327.68</v>
      </c>
      <c r="F126" s="4">
        <v>0</v>
      </c>
      <c r="G126" s="4">
        <v>250.59</v>
      </c>
      <c r="H126" s="4">
        <v>42</v>
      </c>
      <c r="I126" s="4">
        <v>0</v>
      </c>
      <c r="J126" s="4">
        <v>467.98</v>
      </c>
      <c r="K126" s="4">
        <v>275.75</v>
      </c>
      <c r="L126" s="4">
        <v>2088.25</v>
      </c>
      <c r="M126" s="4">
        <v>0</v>
      </c>
      <c r="N126" s="3">
        <v>3</v>
      </c>
      <c r="O126" s="3" t="s">
        <v>118</v>
      </c>
    </row>
    <row r="127" spans="1:15">
      <c r="A127" s="3" t="s">
        <v>251</v>
      </c>
      <c r="B127" s="5">
        <v>46242</v>
      </c>
      <c r="C127" s="3" t="s">
        <v>67</v>
      </c>
      <c r="D127" s="4">
        <v>734.1</v>
      </c>
      <c r="E127" s="4">
        <v>503.5</v>
      </c>
      <c r="F127" s="4">
        <v>50.35</v>
      </c>
      <c r="G127" s="4">
        <v>8.34</v>
      </c>
      <c r="H127" s="4">
        <v>42</v>
      </c>
      <c r="I127" s="4">
        <v>5</v>
      </c>
      <c r="J127" s="4">
        <v>225.61</v>
      </c>
      <c r="K127" s="4">
        <v>1.8</v>
      </c>
      <c r="L127" s="4">
        <v>834.2</v>
      </c>
      <c r="M127" s="4">
        <v>100.1</v>
      </c>
      <c r="N127" s="3">
        <v>3</v>
      </c>
      <c r="O127" s="3" t="s">
        <v>120</v>
      </c>
    </row>
    <row r="128" spans="1:15">
      <c r="A128" s="3" t="s">
        <v>252</v>
      </c>
      <c r="B128" s="5">
        <v>46249</v>
      </c>
      <c r="C128" s="3" t="s">
        <v>77</v>
      </c>
      <c r="D128" s="4">
        <v>860.4</v>
      </c>
      <c r="E128" s="4">
        <v>499.18</v>
      </c>
      <c r="F128" s="4">
        <v>0</v>
      </c>
      <c r="G128" s="4">
        <v>17.21</v>
      </c>
      <c r="H128" s="4">
        <v>42</v>
      </c>
      <c r="I128" s="4">
        <v>0</v>
      </c>
      <c r="J128" s="4">
        <v>302.01</v>
      </c>
      <c r="K128" s="4">
        <v>3.6</v>
      </c>
      <c r="L128" s="4">
        <v>860.4</v>
      </c>
      <c r="M128" s="4">
        <v>0</v>
      </c>
      <c r="N128" s="3">
        <v>5</v>
      </c>
      <c r="O128" s="3" t="s">
        <v>122</v>
      </c>
    </row>
    <row r="129" spans="1:15">
      <c r="A129" s="3" t="s">
        <v>253</v>
      </c>
      <c r="B129" s="5">
        <v>46256</v>
      </c>
      <c r="C129" s="3" t="s">
        <v>70</v>
      </c>
      <c r="D129" s="4">
        <v>25.5</v>
      </c>
      <c r="E129" s="4">
        <v>19.38</v>
      </c>
      <c r="F129" s="4">
        <v>0</v>
      </c>
      <c r="G129" s="4">
        <v>1.53</v>
      </c>
      <c r="H129" s="4">
        <v>6.5</v>
      </c>
      <c r="I129" s="4">
        <v>0</v>
      </c>
      <c r="J129" s="4">
        <v>-1.91</v>
      </c>
      <c r="K129" s="4">
        <v>4.5</v>
      </c>
      <c r="L129" s="4">
        <v>25.5</v>
      </c>
      <c r="M129" s="4">
        <v>0</v>
      </c>
      <c r="N129" s="3">
        <v>2</v>
      </c>
      <c r="O129" s="3" t="s">
        <v>197</v>
      </c>
    </row>
    <row r="130" spans="1:15">
      <c r="A130" s="3" t="s">
        <v>254</v>
      </c>
      <c r="B130" s="5">
        <v>46263</v>
      </c>
      <c r="C130" s="3" t="s">
        <v>64</v>
      </c>
      <c r="D130" s="4">
        <v>1779</v>
      </c>
      <c r="E130" s="4">
        <v>1055.61</v>
      </c>
      <c r="F130" s="4">
        <v>0</v>
      </c>
      <c r="G130" s="4">
        <v>213.48</v>
      </c>
      <c r="H130" s="4">
        <v>42</v>
      </c>
      <c r="I130" s="4">
        <v>0</v>
      </c>
      <c r="J130" s="4">
        <v>467.91</v>
      </c>
      <c r="K130" s="4">
        <v>0</v>
      </c>
      <c r="L130" s="4">
        <v>1779</v>
      </c>
      <c r="M130" s="4">
        <v>0</v>
      </c>
      <c r="N130" s="3">
        <v>8</v>
      </c>
      <c r="O130" s="3" t="s">
        <v>124</v>
      </c>
    </row>
    <row r="131" spans="1:15">
      <c r="A131" s="3" t="s">
        <v>255</v>
      </c>
      <c r="B131" s="5">
        <v>46270</v>
      </c>
      <c r="C131" s="3" t="s">
        <v>67</v>
      </c>
      <c r="D131" s="4">
        <v>152</v>
      </c>
      <c r="E131" s="4">
        <v>87.08</v>
      </c>
      <c r="F131" s="4">
        <v>0</v>
      </c>
      <c r="G131" s="4">
        <v>1.52</v>
      </c>
      <c r="H131" s="4">
        <v>6.5</v>
      </c>
      <c r="I131" s="4">
        <v>0</v>
      </c>
      <c r="J131" s="4">
        <v>56.9</v>
      </c>
      <c r="K131" s="4">
        <v>8</v>
      </c>
      <c r="L131" s="4">
        <v>152</v>
      </c>
      <c r="M131" s="4">
        <v>0</v>
      </c>
      <c r="N131" s="3">
        <v>4</v>
      </c>
      <c r="O131" s="3" t="s">
        <v>126</v>
      </c>
    </row>
    <row r="132" spans="1:15">
      <c r="A132" s="3" t="s">
        <v>256</v>
      </c>
      <c r="B132" s="5">
        <v>46284</v>
      </c>
      <c r="C132" s="3" t="s">
        <v>70</v>
      </c>
      <c r="D132" s="4">
        <v>770</v>
      </c>
      <c r="E132" s="4">
        <v>530.11</v>
      </c>
      <c r="F132" s="4">
        <v>53.01</v>
      </c>
      <c r="G132" s="4">
        <v>52.5</v>
      </c>
      <c r="H132" s="4">
        <v>42</v>
      </c>
      <c r="I132" s="4">
        <v>5</v>
      </c>
      <c r="J132" s="4">
        <v>193.4</v>
      </c>
      <c r="K132" s="4">
        <v>0</v>
      </c>
      <c r="L132" s="4">
        <v>875</v>
      </c>
      <c r="M132" s="4">
        <v>105</v>
      </c>
      <c r="N132" s="3">
        <v>3</v>
      </c>
      <c r="O132" s="3" t="s">
        <v>128</v>
      </c>
    </row>
    <row r="133" spans="1:15">
      <c r="A133" s="3" t="s">
        <v>257</v>
      </c>
      <c r="B133" s="5">
        <v>46291</v>
      </c>
      <c r="C133" s="3" t="s">
        <v>64</v>
      </c>
      <c r="D133" s="4">
        <v>1737.65</v>
      </c>
      <c r="E133" s="4">
        <v>1197.58</v>
      </c>
      <c r="F133" s="4">
        <v>0</v>
      </c>
      <c r="G133" s="4">
        <v>208.52</v>
      </c>
      <c r="H133" s="4">
        <v>42</v>
      </c>
      <c r="I133" s="4">
        <v>0</v>
      </c>
      <c r="J133" s="4">
        <v>289.55</v>
      </c>
      <c r="K133" s="4">
        <v>120.35</v>
      </c>
      <c r="L133" s="4">
        <v>1737.65</v>
      </c>
      <c r="M133" s="4">
        <v>0</v>
      </c>
      <c r="N133" s="3">
        <v>2</v>
      </c>
      <c r="O133" s="3" t="s">
        <v>204</v>
      </c>
    </row>
    <row r="134" spans="1:15">
      <c r="A134" s="3" t="s">
        <v>258</v>
      </c>
      <c r="B134" s="5">
        <v>46206</v>
      </c>
      <c r="C134" s="3" t="s">
        <v>67</v>
      </c>
      <c r="D134" s="4">
        <v>1281.6</v>
      </c>
      <c r="E134" s="4">
        <v>867.97</v>
      </c>
      <c r="F134" s="4">
        <v>0</v>
      </c>
      <c r="G134" s="4">
        <v>12.82</v>
      </c>
      <c r="H134" s="4">
        <v>42</v>
      </c>
      <c r="I134" s="4">
        <v>0</v>
      </c>
      <c r="J134" s="4">
        <v>358.81</v>
      </c>
      <c r="K134" s="4">
        <v>142.4</v>
      </c>
      <c r="L134" s="4">
        <v>1281.6</v>
      </c>
      <c r="M134" s="4">
        <v>0</v>
      </c>
      <c r="N134" s="3">
        <v>1</v>
      </c>
      <c r="O134" s="3" t="s">
        <v>130</v>
      </c>
    </row>
    <row r="135" spans="1:15">
      <c r="A135" s="3" t="s">
        <v>259</v>
      </c>
      <c r="B135" s="5">
        <v>46213</v>
      </c>
      <c r="C135" s="3" t="s">
        <v>77</v>
      </c>
      <c r="D135" s="4">
        <v>1337.6</v>
      </c>
      <c r="E135" s="4">
        <v>897.6900000000001</v>
      </c>
      <c r="F135" s="4">
        <v>0</v>
      </c>
      <c r="G135" s="4">
        <v>26.75</v>
      </c>
      <c r="H135" s="4">
        <v>42</v>
      </c>
      <c r="I135" s="4">
        <v>0</v>
      </c>
      <c r="J135" s="4">
        <v>371.16</v>
      </c>
      <c r="K135" s="4">
        <v>142.4</v>
      </c>
      <c r="L135" s="4">
        <v>1337.6</v>
      </c>
      <c r="M135" s="4">
        <v>0</v>
      </c>
      <c r="N135" s="3">
        <v>3</v>
      </c>
      <c r="O135" s="3" t="s">
        <v>132</v>
      </c>
    </row>
    <row r="136" spans="1:15">
      <c r="A136" s="3" t="s">
        <v>260</v>
      </c>
      <c r="B136" s="5">
        <v>46220</v>
      </c>
      <c r="C136" s="3" t="s">
        <v>70</v>
      </c>
      <c r="D136" s="4">
        <v>1554</v>
      </c>
      <c r="E136" s="4">
        <v>986.05</v>
      </c>
      <c r="F136" s="4">
        <v>0</v>
      </c>
      <c r="G136" s="4">
        <v>93.23999999999999</v>
      </c>
      <c r="H136" s="4">
        <v>42</v>
      </c>
      <c r="I136" s="4">
        <v>0</v>
      </c>
      <c r="J136" s="4">
        <v>432.71</v>
      </c>
      <c r="K136" s="4">
        <v>0</v>
      </c>
      <c r="L136" s="4">
        <v>1554</v>
      </c>
      <c r="M136" s="4">
        <v>0</v>
      </c>
      <c r="N136" s="3">
        <v>1</v>
      </c>
      <c r="O136" s="3" t="s">
        <v>134</v>
      </c>
    </row>
    <row r="137" spans="1:15">
      <c r="A137" s="3" t="s">
        <v>261</v>
      </c>
      <c r="B137" s="5">
        <v>46227</v>
      </c>
      <c r="C137" s="3" t="s">
        <v>64</v>
      </c>
      <c r="D137" s="4">
        <v>1558.61</v>
      </c>
      <c r="E137" s="4">
        <v>1242.79</v>
      </c>
      <c r="F137" s="4">
        <v>124.28</v>
      </c>
      <c r="G137" s="4">
        <v>212.54</v>
      </c>
      <c r="H137" s="4">
        <v>42</v>
      </c>
      <c r="I137" s="4">
        <v>5</v>
      </c>
      <c r="J137" s="4">
        <v>180.56</v>
      </c>
      <c r="K137" s="4">
        <v>40.85</v>
      </c>
      <c r="L137" s="4">
        <v>1771.15</v>
      </c>
      <c r="M137" s="4">
        <v>212.54</v>
      </c>
      <c r="N137" s="3">
        <v>3</v>
      </c>
      <c r="O137" s="3" t="s">
        <v>136</v>
      </c>
    </row>
    <row r="138" spans="1:15">
      <c r="A138" s="3" t="s">
        <v>262</v>
      </c>
      <c r="B138" s="5">
        <v>46234</v>
      </c>
      <c r="C138" s="3" t="s">
        <v>67</v>
      </c>
      <c r="D138" s="4">
        <v>180.2</v>
      </c>
      <c r="E138" s="4">
        <v>118.57</v>
      </c>
      <c r="F138" s="4">
        <v>0</v>
      </c>
      <c r="G138" s="4">
        <v>1.8</v>
      </c>
      <c r="H138" s="4">
        <v>6.5</v>
      </c>
      <c r="I138" s="4">
        <v>0</v>
      </c>
      <c r="J138" s="4">
        <v>53.33</v>
      </c>
      <c r="K138" s="4">
        <v>4.8</v>
      </c>
      <c r="L138" s="4">
        <v>180.2</v>
      </c>
      <c r="M138" s="4">
        <v>0</v>
      </c>
      <c r="N138" s="3">
        <v>10</v>
      </c>
      <c r="O138" s="3" t="s">
        <v>138</v>
      </c>
    </row>
    <row r="139" spans="1:15">
      <c r="A139" s="3" t="s">
        <v>263</v>
      </c>
      <c r="B139" s="5">
        <v>46241</v>
      </c>
      <c r="C139" s="3" t="s">
        <v>77</v>
      </c>
      <c r="D139" s="4">
        <v>73.8</v>
      </c>
      <c r="E139" s="4">
        <v>50.34</v>
      </c>
      <c r="F139" s="4">
        <v>0</v>
      </c>
      <c r="G139" s="4">
        <v>1.48</v>
      </c>
      <c r="H139" s="4">
        <v>6.5</v>
      </c>
      <c r="I139" s="4">
        <v>0</v>
      </c>
      <c r="J139" s="4">
        <v>15.48</v>
      </c>
      <c r="K139" s="4">
        <v>7.2</v>
      </c>
      <c r="L139" s="4">
        <v>73.8</v>
      </c>
      <c r="M139" s="4">
        <v>0</v>
      </c>
      <c r="N139" s="3">
        <v>8</v>
      </c>
      <c r="O139" s="3" t="s">
        <v>140</v>
      </c>
    </row>
    <row r="140" spans="1:15">
      <c r="A140" s="3" t="s">
        <v>264</v>
      </c>
      <c r="B140" s="5">
        <v>46248</v>
      </c>
      <c r="C140" s="3" t="s">
        <v>70</v>
      </c>
      <c r="D140" s="4">
        <v>2327.1</v>
      </c>
      <c r="E140" s="4">
        <v>1653.14</v>
      </c>
      <c r="F140" s="4">
        <v>0</v>
      </c>
      <c r="G140" s="4">
        <v>139.63</v>
      </c>
      <c r="H140" s="4">
        <v>42</v>
      </c>
      <c r="I140" s="4">
        <v>0</v>
      </c>
      <c r="J140" s="4">
        <v>492.33</v>
      </c>
      <c r="K140" s="4">
        <v>71.90000000000001</v>
      </c>
      <c r="L140" s="4">
        <v>2327.1</v>
      </c>
      <c r="M140" s="4">
        <v>0</v>
      </c>
      <c r="N140" s="3">
        <v>3</v>
      </c>
      <c r="O140" s="3" t="s">
        <v>142</v>
      </c>
    </row>
    <row r="141" spans="1:15">
      <c r="A141" s="3" t="s">
        <v>265</v>
      </c>
      <c r="B141" s="5">
        <v>46255</v>
      </c>
      <c r="C141" s="3" t="s">
        <v>64</v>
      </c>
      <c r="D141" s="4">
        <v>1178.1</v>
      </c>
      <c r="E141" s="4">
        <v>865.84</v>
      </c>
      <c r="F141" s="4">
        <v>0</v>
      </c>
      <c r="G141" s="4">
        <v>141.37</v>
      </c>
      <c r="H141" s="4">
        <v>42</v>
      </c>
      <c r="I141" s="4">
        <v>0</v>
      </c>
      <c r="J141" s="4">
        <v>128.89</v>
      </c>
      <c r="K141" s="4">
        <v>130.9</v>
      </c>
      <c r="L141" s="4">
        <v>1178.1</v>
      </c>
      <c r="M141" s="4">
        <v>0</v>
      </c>
      <c r="N141" s="3">
        <v>1</v>
      </c>
      <c r="O141" s="3" t="s">
        <v>144</v>
      </c>
    </row>
    <row r="142" spans="1:15">
      <c r="A142" s="3" t="s">
        <v>266</v>
      </c>
      <c r="B142" s="5">
        <v>46262</v>
      </c>
      <c r="C142" s="3" t="s">
        <v>67</v>
      </c>
      <c r="D142" s="4">
        <v>1430.64</v>
      </c>
      <c r="E142" s="4">
        <v>1179.32</v>
      </c>
      <c r="F142" s="4">
        <v>117.93</v>
      </c>
      <c r="G142" s="4">
        <v>17.88</v>
      </c>
      <c r="H142" s="4">
        <v>42</v>
      </c>
      <c r="I142" s="4">
        <v>10</v>
      </c>
      <c r="J142" s="4">
        <v>299.37</v>
      </c>
      <c r="K142" s="4">
        <v>77.7</v>
      </c>
      <c r="L142" s="4">
        <v>1788.3</v>
      </c>
      <c r="M142" s="4">
        <v>357.66</v>
      </c>
      <c r="N142" s="3">
        <v>2</v>
      </c>
      <c r="O142" s="3" t="s">
        <v>146</v>
      </c>
    </row>
    <row r="143" spans="1:15">
      <c r="A143" s="3" t="s">
        <v>267</v>
      </c>
      <c r="B143" s="5">
        <v>46276</v>
      </c>
      <c r="C143" s="3" t="s">
        <v>70</v>
      </c>
      <c r="D143" s="4">
        <v>920.3</v>
      </c>
      <c r="E143" s="4">
        <v>618.17</v>
      </c>
      <c r="F143" s="4">
        <v>0</v>
      </c>
      <c r="G143" s="4">
        <v>55.22</v>
      </c>
      <c r="H143" s="4">
        <v>42</v>
      </c>
      <c r="I143" s="4">
        <v>0</v>
      </c>
      <c r="J143" s="4">
        <v>204.91</v>
      </c>
      <c r="K143" s="4">
        <v>63.7</v>
      </c>
      <c r="L143" s="4">
        <v>920.3</v>
      </c>
      <c r="M143" s="4">
        <v>0</v>
      </c>
      <c r="N143" s="3">
        <v>8</v>
      </c>
      <c r="O143" s="3" t="s">
        <v>150</v>
      </c>
    </row>
    <row r="144" spans="1:15">
      <c r="A144" s="3" t="s">
        <v>268</v>
      </c>
      <c r="B144" s="5">
        <v>46283</v>
      </c>
      <c r="C144" s="3" t="s">
        <v>64</v>
      </c>
      <c r="D144" s="4">
        <v>2378.55</v>
      </c>
      <c r="E144" s="4">
        <v>1622.37</v>
      </c>
      <c r="F144" s="4">
        <v>0</v>
      </c>
      <c r="G144" s="4">
        <v>285.43</v>
      </c>
      <c r="H144" s="4">
        <v>42</v>
      </c>
      <c r="I144" s="4">
        <v>0</v>
      </c>
      <c r="J144" s="4">
        <v>428.75</v>
      </c>
      <c r="K144" s="4">
        <v>70.45</v>
      </c>
      <c r="L144" s="4">
        <v>2378.55</v>
      </c>
      <c r="M144" s="4">
        <v>0</v>
      </c>
      <c r="N144" s="3">
        <v>3</v>
      </c>
      <c r="O144" s="3" t="s">
        <v>152</v>
      </c>
    </row>
    <row r="145" spans="1:15">
      <c r="A145" s="3" t="s">
        <v>269</v>
      </c>
      <c r="B145" s="5">
        <v>46205</v>
      </c>
      <c r="C145" s="3" t="s">
        <v>77</v>
      </c>
      <c r="D145" s="4">
        <v>2148.55</v>
      </c>
      <c r="E145" s="4">
        <v>1280.56</v>
      </c>
      <c r="F145" s="4">
        <v>0</v>
      </c>
      <c r="G145" s="4">
        <v>42.97</v>
      </c>
      <c r="H145" s="4">
        <v>42</v>
      </c>
      <c r="I145" s="4">
        <v>0</v>
      </c>
      <c r="J145" s="4">
        <v>783.02</v>
      </c>
      <c r="K145" s="4">
        <v>266.45</v>
      </c>
      <c r="L145" s="4">
        <v>2148.55</v>
      </c>
      <c r="M145" s="4">
        <v>0</v>
      </c>
      <c r="N145" s="3">
        <v>6</v>
      </c>
      <c r="O145" s="3" t="s">
        <v>154</v>
      </c>
    </row>
    <row r="146" spans="1:15">
      <c r="A146" s="3" t="s">
        <v>270</v>
      </c>
      <c r="B146" s="5">
        <v>46212</v>
      </c>
      <c r="C146" s="3" t="s">
        <v>70</v>
      </c>
      <c r="D146" s="4">
        <v>694.45</v>
      </c>
      <c r="E146" s="4">
        <v>521.47</v>
      </c>
      <c r="F146" s="4">
        <v>0</v>
      </c>
      <c r="G146" s="4">
        <v>41.67</v>
      </c>
      <c r="H146" s="4">
        <v>42</v>
      </c>
      <c r="I146" s="4">
        <v>0</v>
      </c>
      <c r="J146" s="4">
        <v>89.31</v>
      </c>
      <c r="K146" s="4">
        <v>122.55</v>
      </c>
      <c r="L146" s="4">
        <v>694.45</v>
      </c>
      <c r="M146" s="4">
        <v>0</v>
      </c>
      <c r="N146" s="3">
        <v>1</v>
      </c>
      <c r="O146" s="3" t="s">
        <v>156</v>
      </c>
    </row>
    <row r="147" spans="1:15">
      <c r="A147" s="3" t="s">
        <v>271</v>
      </c>
      <c r="B147" s="5">
        <v>46219</v>
      </c>
      <c r="C147" s="3" t="s">
        <v>64</v>
      </c>
      <c r="D147" s="4">
        <v>233.38</v>
      </c>
      <c r="E147" s="4">
        <v>193.27</v>
      </c>
      <c r="F147" s="4">
        <v>19.33</v>
      </c>
      <c r="G147" s="4">
        <v>31.82</v>
      </c>
      <c r="H147" s="4">
        <v>42</v>
      </c>
      <c r="I147" s="4">
        <v>5</v>
      </c>
      <c r="J147" s="4">
        <v>-19.38</v>
      </c>
      <c r="K147" s="4">
        <v>46.8</v>
      </c>
      <c r="L147" s="4">
        <v>265.2</v>
      </c>
      <c r="M147" s="4">
        <v>31.82</v>
      </c>
      <c r="N147" s="3">
        <v>1</v>
      </c>
      <c r="O147" s="3" t="s">
        <v>158</v>
      </c>
    </row>
    <row r="148" spans="1:15">
      <c r="A148" s="3" t="s">
        <v>272</v>
      </c>
      <c r="B148" s="5">
        <v>46226</v>
      </c>
      <c r="C148" s="3" t="s">
        <v>67</v>
      </c>
      <c r="D148" s="4">
        <v>186.6</v>
      </c>
      <c r="E148" s="4">
        <v>115.34</v>
      </c>
      <c r="F148" s="4">
        <v>0</v>
      </c>
      <c r="G148" s="4">
        <v>1.87</v>
      </c>
      <c r="H148" s="4">
        <v>6.5</v>
      </c>
      <c r="I148" s="4">
        <v>0</v>
      </c>
      <c r="J148" s="4">
        <v>62.89</v>
      </c>
      <c r="K148" s="4">
        <v>20.4</v>
      </c>
      <c r="L148" s="4">
        <v>186.6</v>
      </c>
      <c r="M148" s="4">
        <v>0</v>
      </c>
      <c r="N148" s="3">
        <v>7</v>
      </c>
      <c r="O148" s="3" t="s">
        <v>217</v>
      </c>
    </row>
    <row r="149" spans="1:15">
      <c r="A149" s="3" t="s">
        <v>273</v>
      </c>
      <c r="B149" s="5">
        <v>46233</v>
      </c>
      <c r="C149" s="3" t="s">
        <v>77</v>
      </c>
      <c r="D149" s="4">
        <v>1016.8</v>
      </c>
      <c r="E149" s="4">
        <v>731.76</v>
      </c>
      <c r="F149" s="4">
        <v>0</v>
      </c>
      <c r="G149" s="4">
        <v>20.34</v>
      </c>
      <c r="H149" s="4">
        <v>42</v>
      </c>
      <c r="I149" s="4">
        <v>0</v>
      </c>
      <c r="J149" s="4">
        <v>222.7</v>
      </c>
      <c r="K149" s="4">
        <v>53.2</v>
      </c>
      <c r="L149" s="4">
        <v>1016.8</v>
      </c>
      <c r="M149" s="4">
        <v>0</v>
      </c>
      <c r="N149" s="3">
        <v>6</v>
      </c>
      <c r="O149" s="3" t="s">
        <v>219</v>
      </c>
    </row>
    <row r="150" spans="1:15">
      <c r="A150" s="3" t="s">
        <v>274</v>
      </c>
      <c r="B150" s="5">
        <v>46240</v>
      </c>
      <c r="C150" s="3" t="s">
        <v>70</v>
      </c>
      <c r="D150" s="4">
        <v>137.75</v>
      </c>
      <c r="E150" s="4">
        <v>87.56999999999999</v>
      </c>
      <c r="F150" s="4">
        <v>0</v>
      </c>
      <c r="G150" s="4">
        <v>8.26</v>
      </c>
      <c r="H150" s="4">
        <v>6.5</v>
      </c>
      <c r="I150" s="4">
        <v>0</v>
      </c>
      <c r="J150" s="4">
        <v>35.42</v>
      </c>
      <c r="K150" s="4">
        <v>7.25</v>
      </c>
      <c r="L150" s="4">
        <v>137.75</v>
      </c>
      <c r="M150" s="4">
        <v>0</v>
      </c>
      <c r="N150" s="3">
        <v>5</v>
      </c>
      <c r="O150" s="3" t="s">
        <v>160</v>
      </c>
    </row>
    <row r="151" spans="1:15">
      <c r="A151" s="3" t="s">
        <v>275</v>
      </c>
      <c r="B151" s="5">
        <v>46247</v>
      </c>
      <c r="C151" s="3" t="s">
        <v>64</v>
      </c>
      <c r="D151" s="4">
        <v>2661.2</v>
      </c>
      <c r="E151" s="4">
        <v>1870.43</v>
      </c>
      <c r="F151" s="4">
        <v>0</v>
      </c>
      <c r="G151" s="4">
        <v>319.34</v>
      </c>
      <c r="H151" s="4">
        <v>42</v>
      </c>
      <c r="I151" s="4">
        <v>0</v>
      </c>
      <c r="J151" s="4">
        <v>429.43</v>
      </c>
      <c r="K151" s="4">
        <v>144.8</v>
      </c>
      <c r="L151" s="4">
        <v>2661.2</v>
      </c>
      <c r="M151" s="4">
        <v>0</v>
      </c>
      <c r="N151" s="3">
        <v>6</v>
      </c>
      <c r="O151" s="3" t="s">
        <v>222</v>
      </c>
    </row>
    <row r="152" spans="1:15">
      <c r="A152" s="3" t="s">
        <v>276</v>
      </c>
      <c r="B152" s="5">
        <v>46254</v>
      </c>
      <c r="C152" s="3" t="s">
        <v>67</v>
      </c>
      <c r="D152" s="4">
        <v>34.88</v>
      </c>
      <c r="E152" s="4">
        <v>31.26</v>
      </c>
      <c r="F152" s="4">
        <v>3.13</v>
      </c>
      <c r="G152" s="4">
        <v>0.44</v>
      </c>
      <c r="H152" s="4">
        <v>6.5</v>
      </c>
      <c r="I152" s="4">
        <v>10</v>
      </c>
      <c r="J152" s="4">
        <v>-10.19</v>
      </c>
      <c r="K152" s="4">
        <v>5.4</v>
      </c>
      <c r="L152" s="4">
        <v>43.6</v>
      </c>
      <c r="M152" s="4">
        <v>8.720000000000001</v>
      </c>
      <c r="N152" s="3">
        <v>2</v>
      </c>
      <c r="O152" s="3" t="s">
        <v>162</v>
      </c>
    </row>
    <row r="153" spans="1:15">
      <c r="A153" s="3" t="s">
        <v>277</v>
      </c>
      <c r="B153" s="5">
        <v>46261</v>
      </c>
      <c r="C153" s="3" t="s">
        <v>77</v>
      </c>
      <c r="D153" s="4">
        <v>839.7</v>
      </c>
      <c r="E153" s="4">
        <v>610.4</v>
      </c>
      <c r="F153" s="4">
        <v>0</v>
      </c>
      <c r="G153" s="4">
        <v>16.79</v>
      </c>
      <c r="H153" s="4">
        <v>42</v>
      </c>
      <c r="I153" s="4">
        <v>0</v>
      </c>
      <c r="J153" s="4">
        <v>170.51</v>
      </c>
      <c r="K153" s="4">
        <v>93.3</v>
      </c>
      <c r="L153" s="4">
        <v>839.7</v>
      </c>
      <c r="M153" s="4">
        <v>0</v>
      </c>
      <c r="N153" s="3">
        <v>9</v>
      </c>
      <c r="O153" s="3" t="s">
        <v>164</v>
      </c>
    </row>
    <row r="154" spans="1:15">
      <c r="A154" s="3" t="s">
        <v>278</v>
      </c>
      <c r="B154" s="5">
        <v>46275</v>
      </c>
      <c r="C154" s="3" t="s">
        <v>64</v>
      </c>
      <c r="D154" s="4">
        <v>6</v>
      </c>
      <c r="E154" s="4">
        <v>3.58</v>
      </c>
      <c r="F154" s="4">
        <v>0</v>
      </c>
      <c r="G154" s="4">
        <v>0.72</v>
      </c>
      <c r="H154" s="4">
        <v>6.5</v>
      </c>
      <c r="I154" s="4">
        <v>0</v>
      </c>
      <c r="J154" s="4">
        <v>-4.8</v>
      </c>
      <c r="K154" s="4">
        <v>0</v>
      </c>
      <c r="L154" s="4">
        <v>6</v>
      </c>
      <c r="M154" s="4">
        <v>0</v>
      </c>
      <c r="N154" s="3">
        <v>1</v>
      </c>
      <c r="O154" s="3" t="s">
        <v>65</v>
      </c>
    </row>
    <row r="155" spans="1:15">
      <c r="A155" s="3" t="s">
        <v>279</v>
      </c>
      <c r="B155" s="5">
        <v>46282</v>
      </c>
      <c r="C155" s="3" t="s">
        <v>67</v>
      </c>
      <c r="D155" s="4">
        <v>1138.4</v>
      </c>
      <c r="E155" s="4">
        <v>769.42</v>
      </c>
      <c r="F155" s="4">
        <v>0</v>
      </c>
      <c r="G155" s="4">
        <v>11.38</v>
      </c>
      <c r="H155" s="4">
        <v>42</v>
      </c>
      <c r="I155" s="4">
        <v>0</v>
      </c>
      <c r="J155" s="4">
        <v>315.6</v>
      </c>
      <c r="K155" s="4">
        <v>147.6</v>
      </c>
      <c r="L155" s="4">
        <v>1138.4</v>
      </c>
      <c r="M155" s="4">
        <v>0</v>
      </c>
      <c r="N155" s="3">
        <v>3</v>
      </c>
      <c r="O155" s="3" t="s">
        <v>68</v>
      </c>
    </row>
    <row r="156" spans="1:15">
      <c r="A156" s="3" t="s">
        <v>280</v>
      </c>
      <c r="B156" s="5">
        <v>46289</v>
      </c>
      <c r="C156" s="3" t="s">
        <v>77</v>
      </c>
      <c r="D156" s="4">
        <v>53.2</v>
      </c>
      <c r="E156" s="4">
        <v>39.12</v>
      </c>
      <c r="F156" s="4">
        <v>0</v>
      </c>
      <c r="G156" s="4">
        <v>1.06</v>
      </c>
      <c r="H156" s="4">
        <v>6.5</v>
      </c>
      <c r="I156" s="4">
        <v>0</v>
      </c>
      <c r="J156" s="4">
        <v>6.52</v>
      </c>
      <c r="K156" s="4">
        <v>2.8</v>
      </c>
      <c r="L156" s="4">
        <v>53.2</v>
      </c>
      <c r="M156" s="4">
        <v>0</v>
      </c>
      <c r="N156" s="3">
        <v>4</v>
      </c>
      <c r="O156" s="3" t="s">
        <v>170</v>
      </c>
    </row>
    <row r="157" spans="1:15">
      <c r="A157" s="3" t="s">
        <v>281</v>
      </c>
      <c r="B157" s="5">
        <v>46204</v>
      </c>
      <c r="C157" s="3" t="s">
        <v>70</v>
      </c>
      <c r="D157" s="4">
        <v>1234.33</v>
      </c>
      <c r="E157" s="4">
        <v>1037.47</v>
      </c>
      <c r="F157" s="4">
        <v>103.75</v>
      </c>
      <c r="G157" s="4">
        <v>84.16</v>
      </c>
      <c r="H157" s="4">
        <v>42</v>
      </c>
      <c r="I157" s="4">
        <v>5</v>
      </c>
      <c r="J157" s="4">
        <v>169.45</v>
      </c>
      <c r="K157" s="4">
        <v>244.35</v>
      </c>
      <c r="L157" s="4">
        <v>1402.65</v>
      </c>
      <c r="M157" s="4">
        <v>168.32</v>
      </c>
      <c r="N157" s="3">
        <v>6</v>
      </c>
      <c r="O157" s="3" t="s">
        <v>71</v>
      </c>
    </row>
    <row r="158" spans="1:15">
      <c r="A158" s="3" t="s">
        <v>282</v>
      </c>
      <c r="B158" s="5">
        <v>46218</v>
      </c>
      <c r="C158" s="3" t="s">
        <v>67</v>
      </c>
      <c r="D158" s="4">
        <v>56</v>
      </c>
      <c r="E158" s="4">
        <v>39.12</v>
      </c>
      <c r="F158" s="4">
        <v>0</v>
      </c>
      <c r="G158" s="4">
        <v>0.5600000000000001</v>
      </c>
      <c r="H158" s="4">
        <v>6.5</v>
      </c>
      <c r="I158" s="4">
        <v>0</v>
      </c>
      <c r="J158" s="4">
        <v>9.82</v>
      </c>
      <c r="K158" s="4">
        <v>0</v>
      </c>
      <c r="L158" s="4">
        <v>56</v>
      </c>
      <c r="M158" s="4">
        <v>0</v>
      </c>
      <c r="N158" s="3">
        <v>4</v>
      </c>
      <c r="O158" s="3" t="s">
        <v>75</v>
      </c>
    </row>
    <row r="159" spans="1:15">
      <c r="A159" s="3" t="s">
        <v>283</v>
      </c>
      <c r="B159" s="5">
        <v>46225</v>
      </c>
      <c r="C159" s="3" t="s">
        <v>77</v>
      </c>
      <c r="D159" s="4">
        <v>1657</v>
      </c>
      <c r="E159" s="4">
        <v>990.35</v>
      </c>
      <c r="F159" s="4">
        <v>0</v>
      </c>
      <c r="G159" s="4">
        <v>33.14</v>
      </c>
      <c r="H159" s="4">
        <v>42</v>
      </c>
      <c r="I159" s="4">
        <v>0</v>
      </c>
      <c r="J159" s="4">
        <v>591.51</v>
      </c>
      <c r="K159" s="4">
        <v>0</v>
      </c>
      <c r="L159" s="4">
        <v>1657</v>
      </c>
      <c r="M159" s="4">
        <v>0</v>
      </c>
      <c r="N159" s="3">
        <v>1</v>
      </c>
      <c r="O159" s="3" t="s">
        <v>78</v>
      </c>
    </row>
    <row r="160" spans="1:15">
      <c r="A160" s="3" t="s">
        <v>284</v>
      </c>
      <c r="B160" s="5">
        <v>46232</v>
      </c>
      <c r="C160" s="3" t="s">
        <v>70</v>
      </c>
      <c r="D160" s="4">
        <v>832.75</v>
      </c>
      <c r="E160" s="4">
        <v>597.61</v>
      </c>
      <c r="F160" s="4">
        <v>0</v>
      </c>
      <c r="G160" s="4">
        <v>49.96</v>
      </c>
      <c r="H160" s="4">
        <v>42</v>
      </c>
      <c r="I160" s="4">
        <v>0</v>
      </c>
      <c r="J160" s="4">
        <v>143.18</v>
      </c>
      <c r="K160" s="4">
        <v>132.25</v>
      </c>
      <c r="L160" s="4">
        <v>832.75</v>
      </c>
      <c r="M160" s="4">
        <v>0</v>
      </c>
      <c r="N160" s="3">
        <v>6</v>
      </c>
      <c r="O160" s="3" t="s">
        <v>80</v>
      </c>
    </row>
    <row r="161" spans="1:15">
      <c r="A161" s="3" t="s">
        <v>285</v>
      </c>
      <c r="B161" s="5">
        <v>46239</v>
      </c>
      <c r="C161" s="3" t="s">
        <v>64</v>
      </c>
      <c r="D161" s="4">
        <v>26</v>
      </c>
      <c r="E161" s="4">
        <v>15.02</v>
      </c>
      <c r="F161" s="4">
        <v>0</v>
      </c>
      <c r="G161" s="4">
        <v>3.12</v>
      </c>
      <c r="H161" s="4">
        <v>6.5</v>
      </c>
      <c r="I161" s="4">
        <v>0</v>
      </c>
      <c r="J161" s="4">
        <v>1.36</v>
      </c>
      <c r="K161" s="4">
        <v>0</v>
      </c>
      <c r="L161" s="4">
        <v>26</v>
      </c>
      <c r="M161" s="4">
        <v>0</v>
      </c>
      <c r="N161" s="3">
        <v>2</v>
      </c>
      <c r="O161" s="3" t="s">
        <v>82</v>
      </c>
    </row>
    <row r="162" spans="1:15">
      <c r="A162" s="3" t="s">
        <v>286</v>
      </c>
      <c r="B162" s="5">
        <v>46246</v>
      </c>
      <c r="C162" s="3" t="s">
        <v>67</v>
      </c>
      <c r="D162" s="4">
        <v>947.3200000000001</v>
      </c>
      <c r="E162" s="4">
        <v>900.8099999999999</v>
      </c>
      <c r="F162" s="4">
        <v>90.08</v>
      </c>
      <c r="G162" s="4">
        <v>11.84</v>
      </c>
      <c r="H162" s="4">
        <v>42</v>
      </c>
      <c r="I162" s="4">
        <v>10</v>
      </c>
      <c r="J162" s="4">
        <v>72.75</v>
      </c>
      <c r="K162" s="4">
        <v>94.84999999999999</v>
      </c>
      <c r="L162" s="4">
        <v>1184.15</v>
      </c>
      <c r="M162" s="4">
        <v>236.83</v>
      </c>
      <c r="N162" s="3">
        <v>3</v>
      </c>
      <c r="O162" s="3" t="s">
        <v>84</v>
      </c>
    </row>
    <row r="163" spans="1:15">
      <c r="A163" s="3" t="s">
        <v>287</v>
      </c>
      <c r="B163" s="5">
        <v>46253</v>
      </c>
      <c r="C163" s="3" t="s">
        <v>77</v>
      </c>
      <c r="D163" s="4">
        <v>135.15</v>
      </c>
      <c r="E163" s="4">
        <v>81.51000000000001</v>
      </c>
      <c r="F163" s="4">
        <v>0</v>
      </c>
      <c r="G163" s="4">
        <v>2.7</v>
      </c>
      <c r="H163" s="4">
        <v>6.5</v>
      </c>
      <c r="I163" s="4">
        <v>0</v>
      </c>
      <c r="J163" s="4">
        <v>44.44</v>
      </c>
      <c r="K163" s="4">
        <v>11.85</v>
      </c>
      <c r="L163" s="4">
        <v>135.15</v>
      </c>
      <c r="M163" s="4">
        <v>0</v>
      </c>
      <c r="N163" s="3">
        <v>6</v>
      </c>
      <c r="O163" s="3" t="s">
        <v>86</v>
      </c>
    </row>
    <row r="164" spans="1:15">
      <c r="A164" s="3" t="s">
        <v>288</v>
      </c>
      <c r="B164" s="5">
        <v>46274</v>
      </c>
      <c r="C164" s="3" t="s">
        <v>67</v>
      </c>
      <c r="D164" s="4">
        <v>695.3</v>
      </c>
      <c r="E164" s="4">
        <v>491.92</v>
      </c>
      <c r="F164" s="4">
        <v>0</v>
      </c>
      <c r="G164" s="4">
        <v>6.95</v>
      </c>
      <c r="H164" s="4">
        <v>42</v>
      </c>
      <c r="I164" s="4">
        <v>0</v>
      </c>
      <c r="J164" s="4">
        <v>154.43</v>
      </c>
      <c r="K164" s="4">
        <v>122.7</v>
      </c>
      <c r="L164" s="4">
        <v>695.3</v>
      </c>
      <c r="M164" s="4">
        <v>0</v>
      </c>
      <c r="N164" s="3">
        <v>1</v>
      </c>
      <c r="O164" s="3" t="s">
        <v>92</v>
      </c>
    </row>
    <row r="165" spans="1:15">
      <c r="A165" s="3" t="s">
        <v>289</v>
      </c>
      <c r="B165" s="5">
        <v>46281</v>
      </c>
      <c r="C165" s="3" t="s">
        <v>77</v>
      </c>
      <c r="D165" s="4">
        <v>1145.7</v>
      </c>
      <c r="E165" s="4">
        <v>710.8</v>
      </c>
      <c r="F165" s="4">
        <v>0</v>
      </c>
      <c r="G165" s="4">
        <v>22.91</v>
      </c>
      <c r="H165" s="4">
        <v>42</v>
      </c>
      <c r="I165" s="4">
        <v>0</v>
      </c>
      <c r="J165" s="4">
        <v>369.99</v>
      </c>
      <c r="K165" s="4">
        <v>127.3</v>
      </c>
      <c r="L165" s="4">
        <v>1145.7</v>
      </c>
      <c r="M165" s="4">
        <v>0</v>
      </c>
      <c r="N165" s="3">
        <v>1</v>
      </c>
      <c r="O165" s="3" t="s">
        <v>94</v>
      </c>
    </row>
    <row r="166" spans="1:15">
      <c r="A166" s="3" t="s">
        <v>290</v>
      </c>
      <c r="B166" s="5">
        <v>46295</v>
      </c>
      <c r="C166" s="3" t="s">
        <v>64</v>
      </c>
      <c r="D166" s="4">
        <v>636.4</v>
      </c>
      <c r="E166" s="4">
        <v>379.86</v>
      </c>
      <c r="F166" s="4">
        <v>0</v>
      </c>
      <c r="G166" s="4">
        <v>76.37</v>
      </c>
      <c r="H166" s="4">
        <v>42</v>
      </c>
      <c r="I166" s="4">
        <v>0</v>
      </c>
      <c r="J166" s="4">
        <v>138.17</v>
      </c>
      <c r="K166" s="4">
        <v>4.6</v>
      </c>
      <c r="L166" s="4">
        <v>636.4</v>
      </c>
      <c r="M166" s="4">
        <v>0</v>
      </c>
      <c r="N166" s="3">
        <v>5</v>
      </c>
      <c r="O166" s="3" t="s">
        <v>98</v>
      </c>
    </row>
    <row r="167" spans="1:15">
      <c r="A167" s="3" t="s">
        <v>291</v>
      </c>
      <c r="B167" s="5">
        <v>46217</v>
      </c>
      <c r="C167" s="3" t="s">
        <v>77</v>
      </c>
      <c r="D167" s="4">
        <v>879.47</v>
      </c>
      <c r="E167" s="4">
        <v>652.48</v>
      </c>
      <c r="F167" s="4">
        <v>65.25</v>
      </c>
      <c r="G167" s="4">
        <v>19.99</v>
      </c>
      <c r="H167" s="4">
        <v>42</v>
      </c>
      <c r="I167" s="4">
        <v>5</v>
      </c>
      <c r="J167" s="4">
        <v>225.25</v>
      </c>
      <c r="K167" s="4">
        <v>52.6</v>
      </c>
      <c r="L167" s="4">
        <v>999.4</v>
      </c>
      <c r="M167" s="4">
        <v>119.93</v>
      </c>
      <c r="N167" s="3">
        <v>1</v>
      </c>
      <c r="O167" s="3" t="s">
        <v>102</v>
      </c>
    </row>
    <row r="168" spans="1:15">
      <c r="A168" s="3" t="s">
        <v>292</v>
      </c>
      <c r="B168" s="5">
        <v>46224</v>
      </c>
      <c r="C168" s="3" t="s">
        <v>70</v>
      </c>
      <c r="D168" s="4">
        <v>717.25</v>
      </c>
      <c r="E168" s="4">
        <v>397.16</v>
      </c>
      <c r="F168" s="4">
        <v>0</v>
      </c>
      <c r="G168" s="4">
        <v>43.04</v>
      </c>
      <c r="H168" s="4">
        <v>42</v>
      </c>
      <c r="I168" s="4">
        <v>0</v>
      </c>
      <c r="J168" s="4">
        <v>235.05</v>
      </c>
      <c r="K168" s="4">
        <v>37.75</v>
      </c>
      <c r="L168" s="4">
        <v>717.25</v>
      </c>
      <c r="M168" s="4">
        <v>0</v>
      </c>
      <c r="N168" s="3">
        <v>1</v>
      </c>
      <c r="O168" s="3" t="s">
        <v>185</v>
      </c>
    </row>
    <row r="169" spans="1:15">
      <c r="A169" s="3" t="s">
        <v>293</v>
      </c>
      <c r="B169" s="5">
        <v>46238</v>
      </c>
      <c r="C169" s="3" t="s">
        <v>67</v>
      </c>
      <c r="D169" s="4">
        <v>1207.3</v>
      </c>
      <c r="E169" s="4">
        <v>934.71</v>
      </c>
      <c r="F169" s="4">
        <v>0</v>
      </c>
      <c r="G169" s="4">
        <v>12.07</v>
      </c>
      <c r="H169" s="4">
        <v>42</v>
      </c>
      <c r="I169" s="4">
        <v>0</v>
      </c>
      <c r="J169" s="4">
        <v>218.52</v>
      </c>
      <c r="K169" s="4">
        <v>63.7</v>
      </c>
      <c r="L169" s="4">
        <v>1207.3</v>
      </c>
      <c r="M169" s="4">
        <v>0</v>
      </c>
      <c r="N169" s="3">
        <v>3</v>
      </c>
      <c r="O169" s="3" t="s">
        <v>106</v>
      </c>
    </row>
    <row r="170" spans="1:15">
      <c r="A170" s="3" t="s">
        <v>294</v>
      </c>
      <c r="B170" s="5">
        <v>46245</v>
      </c>
      <c r="C170" s="3" t="s">
        <v>77</v>
      </c>
      <c r="D170" s="4">
        <v>155.2</v>
      </c>
      <c r="E170" s="4">
        <v>104.43</v>
      </c>
      <c r="F170" s="4">
        <v>0</v>
      </c>
      <c r="G170" s="4">
        <v>3.1</v>
      </c>
      <c r="H170" s="4">
        <v>6.5</v>
      </c>
      <c r="I170" s="4">
        <v>0</v>
      </c>
      <c r="J170" s="4">
        <v>41.17</v>
      </c>
      <c r="K170" s="4">
        <v>20.8</v>
      </c>
      <c r="L170" s="4">
        <v>155.2</v>
      </c>
      <c r="M170" s="4">
        <v>0</v>
      </c>
      <c r="N170" s="3">
        <v>7</v>
      </c>
      <c r="O170" s="3" t="s">
        <v>108</v>
      </c>
    </row>
    <row r="171" spans="1:15">
      <c r="A171" s="3" t="s">
        <v>295</v>
      </c>
      <c r="B171" s="5">
        <v>46252</v>
      </c>
      <c r="C171" s="3" t="s">
        <v>70</v>
      </c>
      <c r="D171" s="4">
        <v>1474.5</v>
      </c>
      <c r="E171" s="4">
        <v>1059.11</v>
      </c>
      <c r="F171" s="4">
        <v>0</v>
      </c>
      <c r="G171" s="4">
        <v>88.47</v>
      </c>
      <c r="H171" s="4">
        <v>42</v>
      </c>
      <c r="I171" s="4">
        <v>0</v>
      </c>
      <c r="J171" s="4">
        <v>284.92</v>
      </c>
      <c r="K171" s="4">
        <v>146.5</v>
      </c>
      <c r="L171" s="4">
        <v>1474.5</v>
      </c>
      <c r="M171" s="4">
        <v>0</v>
      </c>
      <c r="N171" s="3">
        <v>2</v>
      </c>
      <c r="O171" s="3" t="s">
        <v>189</v>
      </c>
    </row>
    <row r="172" spans="1:15">
      <c r="A172" s="3" t="s">
        <v>296</v>
      </c>
      <c r="B172" s="5">
        <v>46259</v>
      </c>
      <c r="C172" s="3" t="s">
        <v>64</v>
      </c>
      <c r="D172" s="4">
        <v>1198.52</v>
      </c>
      <c r="E172" s="4">
        <v>825.59</v>
      </c>
      <c r="F172" s="4">
        <v>82.56</v>
      </c>
      <c r="G172" s="4">
        <v>179.78</v>
      </c>
      <c r="H172" s="4">
        <v>42</v>
      </c>
      <c r="I172" s="4">
        <v>10</v>
      </c>
      <c r="J172" s="4">
        <v>223.71</v>
      </c>
      <c r="K172" s="4">
        <v>78.84999999999999</v>
      </c>
      <c r="L172" s="4">
        <v>1498.15</v>
      </c>
      <c r="M172" s="4">
        <v>299.63</v>
      </c>
      <c r="N172" s="3">
        <v>4</v>
      </c>
      <c r="O172" s="3" t="s">
        <v>110</v>
      </c>
    </row>
    <row r="173" spans="1:15">
      <c r="A173" s="3" t="s">
        <v>297</v>
      </c>
      <c r="B173" s="5">
        <v>46266</v>
      </c>
      <c r="C173" s="3" t="s">
        <v>67</v>
      </c>
      <c r="D173" s="4">
        <v>22.95</v>
      </c>
      <c r="E173" s="4">
        <v>17.37</v>
      </c>
      <c r="F173" s="4">
        <v>0</v>
      </c>
      <c r="G173" s="4">
        <v>0.23</v>
      </c>
      <c r="H173" s="4">
        <v>6.5</v>
      </c>
      <c r="I173" s="4">
        <v>0</v>
      </c>
      <c r="J173" s="4">
        <v>-1.15</v>
      </c>
      <c r="K173" s="4">
        <v>4.05</v>
      </c>
      <c r="L173" s="4">
        <v>22.95</v>
      </c>
      <c r="M173" s="4">
        <v>0</v>
      </c>
      <c r="N173" s="3">
        <v>3</v>
      </c>
      <c r="O173" s="3" t="s">
        <v>112</v>
      </c>
    </row>
    <row r="174" spans="1:15">
      <c r="A174" s="3" t="s">
        <v>298</v>
      </c>
      <c r="B174" s="5">
        <v>46273</v>
      </c>
      <c r="C174" s="3" t="s">
        <v>77</v>
      </c>
      <c r="D174" s="4">
        <v>1520.55</v>
      </c>
      <c r="E174" s="4">
        <v>840.77</v>
      </c>
      <c r="F174" s="4">
        <v>0</v>
      </c>
      <c r="G174" s="4">
        <v>30.41</v>
      </c>
      <c r="H174" s="4">
        <v>42</v>
      </c>
      <c r="I174" s="4">
        <v>0</v>
      </c>
      <c r="J174" s="4">
        <v>607.37</v>
      </c>
      <c r="K174" s="4">
        <v>82.45</v>
      </c>
      <c r="L174" s="4">
        <v>1520.55</v>
      </c>
      <c r="M174" s="4">
        <v>0</v>
      </c>
      <c r="N174" s="3">
        <v>5</v>
      </c>
      <c r="O174" s="3" t="s">
        <v>114</v>
      </c>
    </row>
    <row r="175" spans="1:15">
      <c r="A175" s="3" t="s">
        <v>299</v>
      </c>
      <c r="B175" s="5">
        <v>46280</v>
      </c>
      <c r="C175" s="3" t="s">
        <v>70</v>
      </c>
      <c r="D175" s="4">
        <v>2362.65</v>
      </c>
      <c r="E175" s="4">
        <v>1787.78</v>
      </c>
      <c r="F175" s="4">
        <v>0</v>
      </c>
      <c r="G175" s="4">
        <v>141.76</v>
      </c>
      <c r="H175" s="4">
        <v>42</v>
      </c>
      <c r="I175" s="4">
        <v>0</v>
      </c>
      <c r="J175" s="4">
        <v>391.11</v>
      </c>
      <c r="K175" s="4">
        <v>196.35</v>
      </c>
      <c r="L175" s="4">
        <v>2362.65</v>
      </c>
      <c r="M175" s="4">
        <v>0</v>
      </c>
      <c r="N175" s="3">
        <v>2</v>
      </c>
      <c r="O175" s="3" t="s">
        <v>116</v>
      </c>
    </row>
    <row r="176" spans="1:15">
      <c r="A176" s="3" t="s">
        <v>300</v>
      </c>
      <c r="B176" s="5">
        <v>46287</v>
      </c>
      <c r="C176" s="3" t="s">
        <v>64</v>
      </c>
      <c r="D176" s="4">
        <v>280.8</v>
      </c>
      <c r="E176" s="4">
        <v>193.27</v>
      </c>
      <c r="F176" s="4">
        <v>0</v>
      </c>
      <c r="G176" s="4">
        <v>33.7</v>
      </c>
      <c r="H176" s="4">
        <v>42</v>
      </c>
      <c r="I176" s="4">
        <v>0</v>
      </c>
      <c r="J176" s="4">
        <v>11.83</v>
      </c>
      <c r="K176" s="4">
        <v>31.2</v>
      </c>
      <c r="L176" s="4">
        <v>280.8</v>
      </c>
      <c r="M176" s="4">
        <v>0</v>
      </c>
      <c r="N176" s="3">
        <v>1</v>
      </c>
      <c r="O176" s="3" t="s">
        <v>118</v>
      </c>
    </row>
    <row r="177" spans="1:15">
      <c r="A177" s="3" t="s">
        <v>301</v>
      </c>
      <c r="B177" s="5">
        <v>46294</v>
      </c>
      <c r="C177" s="3" t="s">
        <v>67</v>
      </c>
      <c r="D177" s="4">
        <v>13</v>
      </c>
      <c r="E177" s="4">
        <v>7.51</v>
      </c>
      <c r="F177" s="4">
        <v>0</v>
      </c>
      <c r="G177" s="4">
        <v>0.13</v>
      </c>
      <c r="H177" s="4">
        <v>6.5</v>
      </c>
      <c r="I177" s="4">
        <v>0</v>
      </c>
      <c r="J177" s="4">
        <v>-1.14</v>
      </c>
      <c r="K177" s="4">
        <v>0</v>
      </c>
      <c r="L177" s="4">
        <v>13</v>
      </c>
      <c r="M177" s="4">
        <v>0</v>
      </c>
      <c r="N177" s="3">
        <v>1</v>
      </c>
      <c r="O177" s="3" t="s">
        <v>120</v>
      </c>
    </row>
    <row r="178" spans="1:15">
      <c r="A178" s="3" t="s">
        <v>302</v>
      </c>
      <c r="B178" s="5">
        <v>46209</v>
      </c>
      <c r="C178" s="3" t="s">
        <v>77</v>
      </c>
      <c r="D178" s="4">
        <v>1375.35</v>
      </c>
      <c r="E178" s="4">
        <v>959.88</v>
      </c>
      <c r="F178" s="4">
        <v>0</v>
      </c>
      <c r="G178" s="4">
        <v>27.51</v>
      </c>
      <c r="H178" s="4">
        <v>42</v>
      </c>
      <c r="I178" s="4">
        <v>0</v>
      </c>
      <c r="J178" s="4">
        <v>345.96</v>
      </c>
      <c r="K178" s="4">
        <v>73.65000000000001</v>
      </c>
      <c r="L178" s="4">
        <v>1375.35</v>
      </c>
      <c r="M178" s="4">
        <v>0</v>
      </c>
      <c r="N178" s="3">
        <v>7</v>
      </c>
      <c r="O178" s="3" t="s">
        <v>122</v>
      </c>
    </row>
    <row r="179" spans="1:15">
      <c r="A179" s="3" t="s">
        <v>303</v>
      </c>
      <c r="B179" s="5">
        <v>46216</v>
      </c>
      <c r="C179" s="3" t="s">
        <v>70</v>
      </c>
      <c r="D179" s="4">
        <v>920.75</v>
      </c>
      <c r="E179" s="4">
        <v>627.76</v>
      </c>
      <c r="F179" s="4">
        <v>0</v>
      </c>
      <c r="G179" s="4">
        <v>55.24</v>
      </c>
      <c r="H179" s="4">
        <v>42</v>
      </c>
      <c r="I179" s="4">
        <v>0</v>
      </c>
      <c r="J179" s="4">
        <v>195.75</v>
      </c>
      <c r="K179" s="4">
        <v>60.25</v>
      </c>
      <c r="L179" s="4">
        <v>920.75</v>
      </c>
      <c r="M179" s="4">
        <v>0</v>
      </c>
      <c r="N179" s="3">
        <v>5</v>
      </c>
      <c r="O179" s="3" t="s">
        <v>197</v>
      </c>
    </row>
    <row r="180" spans="1:15">
      <c r="A180" s="3" t="s">
        <v>304</v>
      </c>
      <c r="B180" s="5">
        <v>46223</v>
      </c>
      <c r="C180" s="3" t="s">
        <v>64</v>
      </c>
      <c r="D180" s="4">
        <v>1897.5</v>
      </c>
      <c r="E180" s="4">
        <v>1056.67</v>
      </c>
      <c r="F180" s="4">
        <v>0</v>
      </c>
      <c r="G180" s="4">
        <v>227.7</v>
      </c>
      <c r="H180" s="4">
        <v>42</v>
      </c>
      <c r="I180" s="4">
        <v>0</v>
      </c>
      <c r="J180" s="4">
        <v>571.13</v>
      </c>
      <c r="K180" s="4">
        <v>64.5</v>
      </c>
      <c r="L180" s="4">
        <v>1897.5</v>
      </c>
      <c r="M180" s="4">
        <v>0</v>
      </c>
      <c r="N180" s="3">
        <v>2</v>
      </c>
      <c r="O180" s="3" t="s">
        <v>124</v>
      </c>
    </row>
    <row r="181" spans="1:15">
      <c r="A181" s="3" t="s">
        <v>305</v>
      </c>
      <c r="B181" s="5">
        <v>46230</v>
      </c>
      <c r="C181" s="3" t="s">
        <v>67</v>
      </c>
      <c r="D181" s="4">
        <v>2656.35</v>
      </c>
      <c r="E181" s="4">
        <v>1768.25</v>
      </c>
      <c r="F181" s="4">
        <v>0</v>
      </c>
      <c r="G181" s="4">
        <v>26.56</v>
      </c>
      <c r="H181" s="4">
        <v>42</v>
      </c>
      <c r="I181" s="4">
        <v>0</v>
      </c>
      <c r="J181" s="4">
        <v>819.54</v>
      </c>
      <c r="K181" s="4">
        <v>272.65</v>
      </c>
      <c r="L181" s="4">
        <v>2656.35</v>
      </c>
      <c r="M181" s="4">
        <v>0</v>
      </c>
      <c r="N181" s="3">
        <v>3</v>
      </c>
      <c r="O181" s="3" t="s">
        <v>126</v>
      </c>
    </row>
    <row r="182" spans="1:15">
      <c r="A182" s="3" t="s">
        <v>306</v>
      </c>
      <c r="B182" s="5">
        <v>46251</v>
      </c>
      <c r="C182" s="3" t="s">
        <v>64</v>
      </c>
      <c r="D182" s="4">
        <v>6.84</v>
      </c>
      <c r="E182" s="4">
        <v>5.22</v>
      </c>
      <c r="F182" s="4">
        <v>0.52</v>
      </c>
      <c r="G182" s="4">
        <v>1.03</v>
      </c>
      <c r="H182" s="4">
        <v>6.5</v>
      </c>
      <c r="I182" s="4">
        <v>10</v>
      </c>
      <c r="J182" s="4">
        <v>-15.39</v>
      </c>
      <c r="K182" s="4">
        <v>0.45</v>
      </c>
      <c r="L182" s="4">
        <v>8.550000000000001</v>
      </c>
      <c r="M182" s="4">
        <v>1.71</v>
      </c>
      <c r="N182" s="3">
        <v>1</v>
      </c>
      <c r="O182" s="3" t="s">
        <v>204</v>
      </c>
    </row>
    <row r="183" spans="1:15">
      <c r="A183" s="3" t="s">
        <v>307</v>
      </c>
      <c r="B183" s="5">
        <v>46265</v>
      </c>
      <c r="C183" s="3" t="s">
        <v>77</v>
      </c>
      <c r="D183" s="4">
        <v>430.35</v>
      </c>
      <c r="E183" s="4">
        <v>267.69</v>
      </c>
      <c r="F183" s="4">
        <v>0</v>
      </c>
      <c r="G183" s="4">
        <v>8.609999999999999</v>
      </c>
      <c r="H183" s="4">
        <v>42</v>
      </c>
      <c r="I183" s="4">
        <v>0</v>
      </c>
      <c r="J183" s="4">
        <v>112.05</v>
      </c>
      <c r="K183" s="4">
        <v>22.65</v>
      </c>
      <c r="L183" s="4">
        <v>430.35</v>
      </c>
      <c r="M183" s="4">
        <v>0</v>
      </c>
      <c r="N183" s="3">
        <v>1</v>
      </c>
      <c r="O183" s="3" t="s">
        <v>132</v>
      </c>
    </row>
    <row r="184" spans="1:15">
      <c r="A184" s="3" t="s">
        <v>308</v>
      </c>
      <c r="B184" s="5">
        <v>46279</v>
      </c>
      <c r="C184" s="3" t="s">
        <v>64</v>
      </c>
      <c r="D184" s="4">
        <v>720.95</v>
      </c>
      <c r="E184" s="4">
        <v>507.58</v>
      </c>
      <c r="F184" s="4">
        <v>0</v>
      </c>
      <c r="G184" s="4">
        <v>86.51000000000001</v>
      </c>
      <c r="H184" s="4">
        <v>42</v>
      </c>
      <c r="I184" s="4">
        <v>0</v>
      </c>
      <c r="J184" s="4">
        <v>84.86</v>
      </c>
      <c r="K184" s="4">
        <v>124.05</v>
      </c>
      <c r="L184" s="4">
        <v>720.95</v>
      </c>
      <c r="M184" s="4">
        <v>0</v>
      </c>
      <c r="N184" s="3">
        <v>4</v>
      </c>
      <c r="O184" s="3" t="s">
        <v>136</v>
      </c>
    </row>
    <row r="185" spans="1:15">
      <c r="A185" s="3" t="s">
        <v>309</v>
      </c>
      <c r="B185" s="5">
        <v>46286</v>
      </c>
      <c r="C185" s="3" t="s">
        <v>67</v>
      </c>
      <c r="D185" s="4">
        <v>2731.25</v>
      </c>
      <c r="E185" s="4">
        <v>1722.03</v>
      </c>
      <c r="F185" s="4">
        <v>0</v>
      </c>
      <c r="G185" s="4">
        <v>27.31</v>
      </c>
      <c r="H185" s="4">
        <v>42</v>
      </c>
      <c r="I185" s="4">
        <v>0</v>
      </c>
      <c r="J185" s="4">
        <v>939.91</v>
      </c>
      <c r="K185" s="4">
        <v>234.75</v>
      </c>
      <c r="L185" s="4">
        <v>2731.25</v>
      </c>
      <c r="M185" s="4">
        <v>0</v>
      </c>
      <c r="N185" s="3">
        <v>6</v>
      </c>
      <c r="O185" s="3" t="s">
        <v>138</v>
      </c>
    </row>
    <row r="186" spans="1:15">
      <c r="A186" s="3" t="s">
        <v>310</v>
      </c>
      <c r="B186" s="5">
        <v>46293</v>
      </c>
      <c r="C186" s="3" t="s">
        <v>77</v>
      </c>
      <c r="D186" s="4">
        <v>1147.75</v>
      </c>
      <c r="E186" s="4">
        <v>886.99</v>
      </c>
      <c r="F186" s="4">
        <v>0</v>
      </c>
      <c r="G186" s="4">
        <v>22.96</v>
      </c>
      <c r="H186" s="4">
        <v>42</v>
      </c>
      <c r="I186" s="4">
        <v>0</v>
      </c>
      <c r="J186" s="4">
        <v>195.8</v>
      </c>
      <c r="K186" s="4">
        <v>200.25</v>
      </c>
      <c r="L186" s="4">
        <v>1147.75</v>
      </c>
      <c r="M186" s="4">
        <v>0</v>
      </c>
      <c r="N186" s="3">
        <v>4</v>
      </c>
      <c r="O186" s="3" t="s">
        <v>140</v>
      </c>
    </row>
    <row r="187" spans="1:15">
      <c r="A187" s="3" t="s">
        <v>311</v>
      </c>
      <c r="B187" s="5">
        <v>46208</v>
      </c>
      <c r="C187" s="3" t="s">
        <v>70</v>
      </c>
      <c r="D187" s="4">
        <v>688.25</v>
      </c>
      <c r="E187" s="4">
        <v>568.3200000000001</v>
      </c>
      <c r="F187" s="4">
        <v>56.83</v>
      </c>
      <c r="G187" s="4">
        <v>46.93</v>
      </c>
      <c r="H187" s="4">
        <v>42</v>
      </c>
      <c r="I187" s="4">
        <v>5</v>
      </c>
      <c r="J187" s="4">
        <v>82.83</v>
      </c>
      <c r="K187" s="4">
        <v>86.90000000000001</v>
      </c>
      <c r="L187" s="4">
        <v>782.1</v>
      </c>
      <c r="M187" s="4">
        <v>93.84999999999999</v>
      </c>
      <c r="N187" s="3">
        <v>1</v>
      </c>
      <c r="O187" s="3" t="s">
        <v>142</v>
      </c>
    </row>
    <row r="188" spans="1:15">
      <c r="A188" s="3" t="s">
        <v>312</v>
      </c>
      <c r="B188" s="5">
        <v>46215</v>
      </c>
      <c r="C188" s="3" t="s">
        <v>64</v>
      </c>
      <c r="D188" s="4">
        <v>75.75</v>
      </c>
      <c r="E188" s="4">
        <v>46.44</v>
      </c>
      <c r="F188" s="4">
        <v>0</v>
      </c>
      <c r="G188" s="4">
        <v>9.09</v>
      </c>
      <c r="H188" s="4">
        <v>6.5</v>
      </c>
      <c r="I188" s="4">
        <v>0</v>
      </c>
      <c r="J188" s="4">
        <v>13.72</v>
      </c>
      <c r="K188" s="4">
        <v>1.25</v>
      </c>
      <c r="L188" s="4">
        <v>75.75</v>
      </c>
      <c r="M188" s="4">
        <v>0</v>
      </c>
      <c r="N188" s="3">
        <v>7</v>
      </c>
      <c r="O188" s="3" t="s">
        <v>144</v>
      </c>
    </row>
    <row r="189" spans="1:15">
      <c r="A189" s="3" t="s">
        <v>313</v>
      </c>
      <c r="B189" s="5">
        <v>46222</v>
      </c>
      <c r="C189" s="3" t="s">
        <v>67</v>
      </c>
      <c r="D189" s="4">
        <v>457.05</v>
      </c>
      <c r="E189" s="4">
        <v>327.56</v>
      </c>
      <c r="F189" s="4">
        <v>0</v>
      </c>
      <c r="G189" s="4">
        <v>4.57</v>
      </c>
      <c r="H189" s="4">
        <v>42</v>
      </c>
      <c r="I189" s="4">
        <v>0</v>
      </c>
      <c r="J189" s="4">
        <v>82.92</v>
      </c>
      <c r="K189" s="4">
        <v>67.95</v>
      </c>
      <c r="L189" s="4">
        <v>457.05</v>
      </c>
      <c r="M189" s="4">
        <v>0</v>
      </c>
      <c r="N189" s="3">
        <v>6</v>
      </c>
      <c r="O189" s="3" t="s">
        <v>146</v>
      </c>
    </row>
    <row r="190" spans="1:15">
      <c r="A190" s="3" t="s">
        <v>314</v>
      </c>
      <c r="B190" s="5">
        <v>46236</v>
      </c>
      <c r="C190" s="3" t="s">
        <v>70</v>
      </c>
      <c r="D190" s="4">
        <v>1305.4</v>
      </c>
      <c r="E190" s="4">
        <v>732.8200000000001</v>
      </c>
      <c r="F190" s="4">
        <v>0</v>
      </c>
      <c r="G190" s="4">
        <v>78.31999999999999</v>
      </c>
      <c r="H190" s="4">
        <v>42</v>
      </c>
      <c r="I190" s="4">
        <v>0</v>
      </c>
      <c r="J190" s="4">
        <v>452.26</v>
      </c>
      <c r="K190" s="4">
        <v>3.6</v>
      </c>
      <c r="L190" s="4">
        <v>1305.4</v>
      </c>
      <c r="M190" s="4">
        <v>0</v>
      </c>
      <c r="N190" s="3">
        <v>2</v>
      </c>
      <c r="O190" s="3" t="s">
        <v>150</v>
      </c>
    </row>
    <row r="191" spans="1:15">
      <c r="A191" s="3" t="s">
        <v>315</v>
      </c>
      <c r="B191" s="5">
        <v>46243</v>
      </c>
      <c r="C191" s="3" t="s">
        <v>64</v>
      </c>
      <c r="D191" s="4">
        <v>1067.9</v>
      </c>
      <c r="E191" s="4">
        <v>925.55</v>
      </c>
      <c r="F191" s="4">
        <v>0</v>
      </c>
      <c r="G191" s="4">
        <v>128.15</v>
      </c>
      <c r="H191" s="4">
        <v>42</v>
      </c>
      <c r="I191" s="4">
        <v>0</v>
      </c>
      <c r="J191" s="4">
        <v>-27.8</v>
      </c>
      <c r="K191" s="4">
        <v>188.1</v>
      </c>
      <c r="L191" s="4">
        <v>1067.9</v>
      </c>
      <c r="M191" s="4">
        <v>0</v>
      </c>
      <c r="N191" s="3">
        <v>2</v>
      </c>
      <c r="O191" s="3" t="s">
        <v>152</v>
      </c>
    </row>
    <row r="192" spans="1:15">
      <c r="A192" s="3" t="s">
        <v>316</v>
      </c>
      <c r="B192" s="5">
        <v>46250</v>
      </c>
      <c r="C192" s="3" t="s">
        <v>67</v>
      </c>
      <c r="D192" s="4">
        <v>97.28</v>
      </c>
      <c r="E192" s="4">
        <v>86.88</v>
      </c>
      <c r="F192" s="4">
        <v>8.69</v>
      </c>
      <c r="G192" s="4">
        <v>1.22</v>
      </c>
      <c r="H192" s="4">
        <v>6.5</v>
      </c>
      <c r="I192" s="4">
        <v>10</v>
      </c>
      <c r="J192" s="4">
        <v>1.37</v>
      </c>
      <c r="K192" s="4">
        <v>6.4</v>
      </c>
      <c r="L192" s="4">
        <v>121.6</v>
      </c>
      <c r="M192" s="4">
        <v>24.32</v>
      </c>
      <c r="N192" s="3">
        <v>4</v>
      </c>
      <c r="O192" s="3" t="s">
        <v>317</v>
      </c>
    </row>
    <row r="193" spans="1:15">
      <c r="A193" s="3" t="s">
        <v>318</v>
      </c>
      <c r="B193" s="5">
        <v>46257</v>
      </c>
      <c r="C193" s="3" t="s">
        <v>77</v>
      </c>
      <c r="D193" s="4">
        <v>1223.75</v>
      </c>
      <c r="E193" s="4">
        <v>868.28</v>
      </c>
      <c r="F193" s="4">
        <v>0</v>
      </c>
      <c r="G193" s="4">
        <v>24.48</v>
      </c>
      <c r="H193" s="4">
        <v>42</v>
      </c>
      <c r="I193" s="4">
        <v>0</v>
      </c>
      <c r="J193" s="4">
        <v>288.99</v>
      </c>
      <c r="K193" s="4">
        <v>179.25</v>
      </c>
      <c r="L193" s="4">
        <v>1223.75</v>
      </c>
      <c r="M193" s="4">
        <v>0</v>
      </c>
      <c r="N193" s="3">
        <v>5</v>
      </c>
      <c r="O193" s="3" t="s">
        <v>154</v>
      </c>
    </row>
    <row r="194" spans="1:15">
      <c r="A194" s="3" t="s">
        <v>319</v>
      </c>
      <c r="B194" s="5">
        <v>46264</v>
      </c>
      <c r="C194" s="3" t="s">
        <v>70</v>
      </c>
      <c r="D194" s="4">
        <v>11.7</v>
      </c>
      <c r="E194" s="4">
        <v>9.24</v>
      </c>
      <c r="F194" s="4">
        <v>0</v>
      </c>
      <c r="G194" s="4">
        <v>0.7</v>
      </c>
      <c r="H194" s="4">
        <v>6.5</v>
      </c>
      <c r="I194" s="4">
        <v>0</v>
      </c>
      <c r="J194" s="4">
        <v>-4.74</v>
      </c>
      <c r="K194" s="4">
        <v>1.3</v>
      </c>
      <c r="L194" s="4">
        <v>11.7</v>
      </c>
      <c r="M194" s="4">
        <v>0</v>
      </c>
      <c r="N194" s="3">
        <v>1</v>
      </c>
      <c r="O194" s="3" t="s">
        <v>156</v>
      </c>
    </row>
    <row r="195" spans="1:15">
      <c r="A195" s="3" t="s">
        <v>320</v>
      </c>
      <c r="B195" s="5">
        <v>46271</v>
      </c>
      <c r="C195" s="3" t="s">
        <v>64</v>
      </c>
      <c r="D195" s="4">
        <v>1215.6</v>
      </c>
      <c r="E195" s="4">
        <v>983.97</v>
      </c>
      <c r="F195" s="4">
        <v>0</v>
      </c>
      <c r="G195" s="4">
        <v>145.87</v>
      </c>
      <c r="H195" s="4">
        <v>42</v>
      </c>
      <c r="I195" s="4">
        <v>0</v>
      </c>
      <c r="J195" s="4">
        <v>43.76</v>
      </c>
      <c r="K195" s="4">
        <v>212.4</v>
      </c>
      <c r="L195" s="4">
        <v>1215.6</v>
      </c>
      <c r="M195" s="4">
        <v>0</v>
      </c>
      <c r="N195" s="3">
        <v>5</v>
      </c>
      <c r="O195" s="3" t="s">
        <v>158</v>
      </c>
    </row>
    <row r="196" spans="1:15">
      <c r="A196" s="3" t="s">
        <v>321</v>
      </c>
      <c r="B196" s="5">
        <v>46278</v>
      </c>
      <c r="C196" s="3" t="s">
        <v>67</v>
      </c>
      <c r="D196" s="4">
        <v>615.3</v>
      </c>
      <c r="E196" s="4">
        <v>372.63</v>
      </c>
      <c r="F196" s="4">
        <v>0</v>
      </c>
      <c r="G196" s="4">
        <v>6.15</v>
      </c>
      <c r="H196" s="4">
        <v>42</v>
      </c>
      <c r="I196" s="4">
        <v>0</v>
      </c>
      <c r="J196" s="4">
        <v>194.52</v>
      </c>
      <c r="K196" s="4">
        <v>11.7</v>
      </c>
      <c r="L196" s="4">
        <v>615.3</v>
      </c>
      <c r="M196" s="4">
        <v>0</v>
      </c>
      <c r="N196" s="3">
        <v>4</v>
      </c>
      <c r="O196" s="3" t="s">
        <v>217</v>
      </c>
    </row>
    <row r="197" spans="1:15">
      <c r="A197" s="3" t="s">
        <v>322</v>
      </c>
      <c r="B197" s="5">
        <v>46207</v>
      </c>
      <c r="C197" s="3" t="s">
        <v>64</v>
      </c>
      <c r="D197" s="4">
        <v>26.14</v>
      </c>
      <c r="E197" s="4">
        <v>20.13</v>
      </c>
      <c r="F197" s="4">
        <v>2.01</v>
      </c>
      <c r="G197" s="4">
        <v>3.56</v>
      </c>
      <c r="H197" s="4">
        <v>6.5</v>
      </c>
      <c r="I197" s="4">
        <v>5</v>
      </c>
      <c r="J197" s="4">
        <v>-7.04</v>
      </c>
      <c r="K197" s="4">
        <v>3.3</v>
      </c>
      <c r="L197" s="4">
        <v>29.7</v>
      </c>
      <c r="M197" s="4">
        <v>3.56</v>
      </c>
      <c r="N197" s="3">
        <v>1</v>
      </c>
      <c r="O197" s="3" t="s">
        <v>222</v>
      </c>
    </row>
    <row r="198" spans="1:15">
      <c r="A198" s="3" t="s">
        <v>323</v>
      </c>
      <c r="B198" s="5">
        <v>46214</v>
      </c>
      <c r="C198" s="3" t="s">
        <v>67</v>
      </c>
      <c r="D198" s="4">
        <v>1398.6</v>
      </c>
      <c r="E198" s="4">
        <v>986.05</v>
      </c>
      <c r="F198" s="4">
        <v>0</v>
      </c>
      <c r="G198" s="4">
        <v>13.99</v>
      </c>
      <c r="H198" s="4">
        <v>42</v>
      </c>
      <c r="I198" s="4">
        <v>0</v>
      </c>
      <c r="J198" s="4">
        <v>356.56</v>
      </c>
      <c r="K198" s="4">
        <v>155.4</v>
      </c>
      <c r="L198" s="4">
        <v>1398.6</v>
      </c>
      <c r="M198" s="4">
        <v>0</v>
      </c>
      <c r="N198" s="3">
        <v>1</v>
      </c>
      <c r="O198" s="3" t="s">
        <v>162</v>
      </c>
    </row>
    <row r="199" spans="1:15">
      <c r="A199" s="3" t="s">
        <v>324</v>
      </c>
      <c r="B199" s="5">
        <v>46228</v>
      </c>
      <c r="C199" s="3" t="s">
        <v>70</v>
      </c>
      <c r="D199" s="4">
        <v>1057.2</v>
      </c>
      <c r="E199" s="4">
        <v>669.29</v>
      </c>
      <c r="F199" s="4">
        <v>0</v>
      </c>
      <c r="G199" s="4">
        <v>63.43</v>
      </c>
      <c r="H199" s="4">
        <v>42</v>
      </c>
      <c r="I199" s="4">
        <v>0</v>
      </c>
      <c r="J199" s="4">
        <v>282.48</v>
      </c>
      <c r="K199" s="4">
        <v>82.8</v>
      </c>
      <c r="L199" s="4">
        <v>1057.2</v>
      </c>
      <c r="M199" s="4">
        <v>0</v>
      </c>
      <c r="N199" s="3">
        <v>2</v>
      </c>
      <c r="O199" s="3" t="s">
        <v>166</v>
      </c>
    </row>
  </sheetData>
  <autoFilter ref="A1:O19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8.7109375" style="3" customWidth="1"/>
  </cols>
  <sheetData>
    <row r="1" spans="1:5" ht="32" customHeight="1">
      <c r="A1" s="1" t="s">
        <v>325</v>
      </c>
      <c r="B1" s="1" t="s">
        <v>326</v>
      </c>
      <c r="C1" s="1" t="s">
        <v>327</v>
      </c>
      <c r="D1" s="1" t="s">
        <v>328</v>
      </c>
      <c r="E1" s="1" t="s">
        <v>329</v>
      </c>
    </row>
    <row r="2" spans="1:5">
      <c r="A2" s="3" t="s">
        <v>63</v>
      </c>
      <c r="B2" s="3" t="s">
        <v>330</v>
      </c>
      <c r="C2" s="3" t="s">
        <v>64</v>
      </c>
      <c r="D2" s="3" t="s">
        <v>331</v>
      </c>
      <c r="E2" s="3" t="s">
        <v>65</v>
      </c>
    </row>
    <row r="3" spans="1:5">
      <c r="A3" s="3" t="s">
        <v>66</v>
      </c>
      <c r="B3" s="3" t="s">
        <v>332</v>
      </c>
      <c r="C3" s="3" t="s">
        <v>67</v>
      </c>
      <c r="D3" s="3" t="s">
        <v>331</v>
      </c>
      <c r="E3" s="3" t="s">
        <v>68</v>
      </c>
    </row>
    <row r="4" spans="1:5">
      <c r="A4" s="3" t="s">
        <v>333</v>
      </c>
      <c r="B4" s="3" t="s">
        <v>334</v>
      </c>
      <c r="C4" s="3" t="s">
        <v>77</v>
      </c>
      <c r="D4" s="3" t="s">
        <v>335</v>
      </c>
      <c r="E4" s="3" t="s">
        <v>170</v>
      </c>
    </row>
    <row r="5" spans="1:5">
      <c r="A5" s="3" t="s">
        <v>69</v>
      </c>
      <c r="B5" s="3" t="s">
        <v>336</v>
      </c>
      <c r="C5" s="3" t="s">
        <v>70</v>
      </c>
      <c r="D5" s="3" t="s">
        <v>331</v>
      </c>
      <c r="E5" s="3" t="s">
        <v>71</v>
      </c>
    </row>
    <row r="6" spans="1:5">
      <c r="A6" s="3" t="s">
        <v>72</v>
      </c>
      <c r="B6" s="3" t="s">
        <v>337</v>
      </c>
      <c r="C6" s="3" t="s">
        <v>64</v>
      </c>
      <c r="D6" s="3" t="s">
        <v>331</v>
      </c>
      <c r="E6" s="3" t="s">
        <v>73</v>
      </c>
    </row>
    <row r="7" spans="1:5">
      <c r="A7" s="3" t="s">
        <v>74</v>
      </c>
      <c r="B7" s="3" t="s">
        <v>338</v>
      </c>
      <c r="C7" s="3" t="s">
        <v>67</v>
      </c>
      <c r="D7" s="3" t="s">
        <v>339</v>
      </c>
      <c r="E7" s="3" t="s">
        <v>75</v>
      </c>
    </row>
    <row r="8" spans="1:5">
      <c r="A8" s="3" t="s">
        <v>76</v>
      </c>
      <c r="B8" s="3" t="s">
        <v>340</v>
      </c>
      <c r="C8" s="3" t="s">
        <v>77</v>
      </c>
      <c r="D8" s="3" t="s">
        <v>331</v>
      </c>
      <c r="E8" s="3" t="s">
        <v>78</v>
      </c>
    </row>
    <row r="9" spans="1:5">
      <c r="A9" s="3" t="s">
        <v>79</v>
      </c>
      <c r="B9" s="3" t="s">
        <v>341</v>
      </c>
      <c r="C9" s="3" t="s">
        <v>70</v>
      </c>
      <c r="D9" s="3" t="s">
        <v>331</v>
      </c>
      <c r="E9" s="3" t="s">
        <v>80</v>
      </c>
    </row>
    <row r="10" spans="1:5">
      <c r="A10" s="3" t="s">
        <v>81</v>
      </c>
      <c r="B10" s="3" t="s">
        <v>342</v>
      </c>
      <c r="C10" s="3" t="s">
        <v>64</v>
      </c>
      <c r="D10" s="3" t="s">
        <v>331</v>
      </c>
      <c r="E10" s="3" t="s">
        <v>82</v>
      </c>
    </row>
    <row r="11" spans="1:5">
      <c r="A11" s="3" t="s">
        <v>83</v>
      </c>
      <c r="B11" s="3" t="s">
        <v>343</v>
      </c>
      <c r="C11" s="3" t="s">
        <v>67</v>
      </c>
      <c r="D11" s="3" t="s">
        <v>331</v>
      </c>
      <c r="E11" s="3" t="s">
        <v>84</v>
      </c>
    </row>
    <row r="12" spans="1:5">
      <c r="A12" s="3" t="s">
        <v>85</v>
      </c>
      <c r="B12" s="3" t="s">
        <v>344</v>
      </c>
      <c r="C12" s="3" t="s">
        <v>77</v>
      </c>
      <c r="D12" s="3" t="s">
        <v>331</v>
      </c>
      <c r="E12" s="3" t="s">
        <v>86</v>
      </c>
    </row>
    <row r="13" spans="1:5">
      <c r="A13" s="3" t="s">
        <v>87</v>
      </c>
      <c r="B13" s="3" t="s">
        <v>345</v>
      </c>
      <c r="C13" s="3" t="s">
        <v>70</v>
      </c>
      <c r="D13" s="3" t="s">
        <v>331</v>
      </c>
      <c r="E13" s="3" t="s">
        <v>88</v>
      </c>
    </row>
    <row r="14" spans="1:5">
      <c r="A14" s="3" t="s">
        <v>89</v>
      </c>
      <c r="B14" s="3" t="s">
        <v>346</v>
      </c>
      <c r="C14" s="3" t="s">
        <v>64</v>
      </c>
      <c r="D14" s="3" t="s">
        <v>339</v>
      </c>
      <c r="E14" s="3" t="s">
        <v>90</v>
      </c>
    </row>
    <row r="15" spans="1:5">
      <c r="A15" s="3" t="s">
        <v>91</v>
      </c>
      <c r="B15" s="3" t="s">
        <v>347</v>
      </c>
      <c r="C15" s="3" t="s">
        <v>67</v>
      </c>
      <c r="D15" s="3" t="s">
        <v>331</v>
      </c>
      <c r="E15" s="3" t="s">
        <v>92</v>
      </c>
    </row>
    <row r="16" spans="1:5">
      <c r="A16" s="3" t="s">
        <v>93</v>
      </c>
      <c r="B16" s="3" t="s">
        <v>348</v>
      </c>
      <c r="C16" s="3" t="s">
        <v>77</v>
      </c>
      <c r="D16" s="3" t="s">
        <v>331</v>
      </c>
      <c r="E16" s="3" t="s">
        <v>94</v>
      </c>
    </row>
    <row r="17" spans="1:5">
      <c r="A17" s="3" t="s">
        <v>95</v>
      </c>
      <c r="B17" s="3" t="s">
        <v>349</v>
      </c>
      <c r="C17" s="3" t="s">
        <v>70</v>
      </c>
      <c r="D17" s="3" t="s">
        <v>339</v>
      </c>
      <c r="E17" s="3" t="s">
        <v>96</v>
      </c>
    </row>
    <row r="18" spans="1:5">
      <c r="A18" s="3" t="s">
        <v>97</v>
      </c>
      <c r="B18" s="3" t="s">
        <v>350</v>
      </c>
      <c r="C18" s="3" t="s">
        <v>64</v>
      </c>
      <c r="D18" s="3" t="s">
        <v>331</v>
      </c>
      <c r="E18" s="3" t="s">
        <v>98</v>
      </c>
    </row>
    <row r="19" spans="1:5">
      <c r="A19" s="3" t="s">
        <v>99</v>
      </c>
      <c r="B19" s="3" t="s">
        <v>351</v>
      </c>
      <c r="C19" s="3" t="s">
        <v>67</v>
      </c>
      <c r="D19" s="3" t="s">
        <v>339</v>
      </c>
      <c r="E19" s="3" t="s">
        <v>100</v>
      </c>
    </row>
    <row r="20" spans="1:5">
      <c r="A20" s="3" t="s">
        <v>101</v>
      </c>
      <c r="B20" s="3" t="s">
        <v>352</v>
      </c>
      <c r="C20" s="3" t="s">
        <v>77</v>
      </c>
      <c r="D20" s="3" t="s">
        <v>331</v>
      </c>
      <c r="E20" s="3" t="s">
        <v>102</v>
      </c>
    </row>
    <row r="21" spans="1:5">
      <c r="A21" s="3" t="s">
        <v>353</v>
      </c>
      <c r="B21" s="3" t="s">
        <v>354</v>
      </c>
      <c r="C21" s="3" t="s">
        <v>70</v>
      </c>
      <c r="D21" s="3" t="s">
        <v>335</v>
      </c>
      <c r="E21" s="3" t="s">
        <v>185</v>
      </c>
    </row>
    <row r="22" spans="1:5">
      <c r="A22" s="3" t="s">
        <v>103</v>
      </c>
      <c r="B22" s="3" t="s">
        <v>355</v>
      </c>
      <c r="C22" s="3" t="s">
        <v>64</v>
      </c>
      <c r="D22" s="3" t="s">
        <v>331</v>
      </c>
      <c r="E22" s="3" t="s">
        <v>104</v>
      </c>
    </row>
    <row r="23" spans="1:5">
      <c r="A23" s="3" t="s">
        <v>105</v>
      </c>
      <c r="B23" s="3" t="s">
        <v>356</v>
      </c>
      <c r="C23" s="3" t="s">
        <v>67</v>
      </c>
      <c r="D23" s="3" t="s">
        <v>331</v>
      </c>
      <c r="E23" s="3" t="s">
        <v>106</v>
      </c>
    </row>
    <row r="24" spans="1:5">
      <c r="A24" s="3" t="s">
        <v>107</v>
      </c>
      <c r="B24" s="3" t="s">
        <v>357</v>
      </c>
      <c r="C24" s="3" t="s">
        <v>77</v>
      </c>
      <c r="D24" s="3" t="s">
        <v>331</v>
      </c>
      <c r="E24" s="3" t="s">
        <v>108</v>
      </c>
    </row>
    <row r="25" spans="1:5">
      <c r="A25" s="3" t="s">
        <v>358</v>
      </c>
      <c r="B25" s="3" t="s">
        <v>33</v>
      </c>
      <c r="C25" s="3" t="s">
        <v>70</v>
      </c>
      <c r="D25" s="3" t="s">
        <v>335</v>
      </c>
      <c r="E25" s="3" t="s">
        <v>189</v>
      </c>
    </row>
    <row r="26" spans="1:5">
      <c r="A26" s="3" t="s">
        <v>109</v>
      </c>
      <c r="B26" s="3" t="s">
        <v>359</v>
      </c>
      <c r="C26" s="3" t="s">
        <v>64</v>
      </c>
      <c r="D26" s="3" t="s">
        <v>331</v>
      </c>
      <c r="E26" s="3" t="s">
        <v>110</v>
      </c>
    </row>
    <row r="27" spans="1:5">
      <c r="A27" s="3" t="s">
        <v>111</v>
      </c>
      <c r="B27" s="3" t="s">
        <v>360</v>
      </c>
      <c r="C27" s="3" t="s">
        <v>67</v>
      </c>
      <c r="D27" s="3" t="s">
        <v>331</v>
      </c>
      <c r="E27" s="3" t="s">
        <v>112</v>
      </c>
    </row>
    <row r="28" spans="1:5">
      <c r="A28" s="3" t="s">
        <v>113</v>
      </c>
      <c r="B28" s="3" t="s">
        <v>361</v>
      </c>
      <c r="C28" s="3" t="s">
        <v>77</v>
      </c>
      <c r="D28" s="3" t="s">
        <v>362</v>
      </c>
      <c r="E28" s="3" t="s">
        <v>114</v>
      </c>
    </row>
    <row r="29" spans="1:5">
      <c r="A29" s="3" t="s">
        <v>115</v>
      </c>
      <c r="B29" s="3" t="s">
        <v>363</v>
      </c>
      <c r="C29" s="3" t="s">
        <v>70</v>
      </c>
      <c r="D29" s="3" t="s">
        <v>331</v>
      </c>
      <c r="E29" s="3" t="s">
        <v>116</v>
      </c>
    </row>
    <row r="30" spans="1:5">
      <c r="A30" s="3" t="s">
        <v>117</v>
      </c>
      <c r="B30" s="3" t="s">
        <v>364</v>
      </c>
      <c r="C30" s="3" t="s">
        <v>64</v>
      </c>
      <c r="D30" s="3" t="s">
        <v>339</v>
      </c>
      <c r="E30" s="3" t="s">
        <v>118</v>
      </c>
    </row>
    <row r="31" spans="1:5">
      <c r="A31" s="3" t="s">
        <v>119</v>
      </c>
      <c r="B31" s="3" t="s">
        <v>365</v>
      </c>
      <c r="C31" s="3" t="s">
        <v>67</v>
      </c>
      <c r="D31" s="3" t="s">
        <v>331</v>
      </c>
      <c r="E31" s="3" t="s">
        <v>120</v>
      </c>
    </row>
    <row r="32" spans="1:5">
      <c r="A32" s="3" t="s">
        <v>121</v>
      </c>
      <c r="B32" s="3" t="s">
        <v>366</v>
      </c>
      <c r="C32" s="3" t="s">
        <v>77</v>
      </c>
      <c r="D32" s="3" t="s">
        <v>362</v>
      </c>
      <c r="E32" s="3" t="s">
        <v>122</v>
      </c>
    </row>
    <row r="33" spans="1:5">
      <c r="A33" s="3" t="s">
        <v>367</v>
      </c>
      <c r="B33" s="3" t="s">
        <v>368</v>
      </c>
      <c r="C33" s="3" t="s">
        <v>70</v>
      </c>
      <c r="D33" s="3" t="s">
        <v>335</v>
      </c>
      <c r="E33" s="3" t="s">
        <v>197</v>
      </c>
    </row>
    <row r="34" spans="1:5">
      <c r="A34" s="3" t="s">
        <v>123</v>
      </c>
      <c r="B34" s="3" t="s">
        <v>369</v>
      </c>
      <c r="C34" s="3" t="s">
        <v>64</v>
      </c>
      <c r="D34" s="3" t="s">
        <v>362</v>
      </c>
      <c r="E34" s="3" t="s">
        <v>124</v>
      </c>
    </row>
    <row r="35" spans="1:5">
      <c r="A35" s="3" t="s">
        <v>125</v>
      </c>
      <c r="B35" s="3" t="s">
        <v>370</v>
      </c>
      <c r="C35" s="3" t="s">
        <v>67</v>
      </c>
      <c r="D35" s="3" t="s">
        <v>371</v>
      </c>
      <c r="E35" s="3" t="s">
        <v>126</v>
      </c>
    </row>
    <row r="36" spans="1:5">
      <c r="A36" s="3" t="s">
        <v>372</v>
      </c>
      <c r="B36" s="3" t="s">
        <v>373</v>
      </c>
      <c r="C36" s="3" t="s">
        <v>77</v>
      </c>
      <c r="D36" s="3" t="s">
        <v>374</v>
      </c>
      <c r="E36" s="3" t="s">
        <v>201</v>
      </c>
    </row>
    <row r="37" spans="1:5">
      <c r="A37" s="3" t="s">
        <v>127</v>
      </c>
      <c r="B37" s="3" t="s">
        <v>375</v>
      </c>
      <c r="C37" s="3" t="s">
        <v>70</v>
      </c>
      <c r="D37" s="3" t="s">
        <v>362</v>
      </c>
      <c r="E37" s="3" t="s">
        <v>128</v>
      </c>
    </row>
    <row r="38" spans="1:5">
      <c r="A38" s="3" t="s">
        <v>376</v>
      </c>
      <c r="B38" s="3" t="s">
        <v>377</v>
      </c>
      <c r="C38" s="3" t="s">
        <v>64</v>
      </c>
      <c r="D38" s="3" t="s">
        <v>335</v>
      </c>
      <c r="E38" s="3" t="s">
        <v>204</v>
      </c>
    </row>
    <row r="39" spans="1:5">
      <c r="A39" s="3" t="s">
        <v>129</v>
      </c>
      <c r="B39" s="3" t="s">
        <v>378</v>
      </c>
      <c r="C39" s="3" t="s">
        <v>67</v>
      </c>
      <c r="D39" s="3" t="s">
        <v>331</v>
      </c>
      <c r="E39" s="3" t="s">
        <v>130</v>
      </c>
    </row>
    <row r="40" spans="1:5">
      <c r="A40" s="3" t="s">
        <v>131</v>
      </c>
      <c r="B40" s="3" t="s">
        <v>379</v>
      </c>
      <c r="C40" s="3" t="s">
        <v>77</v>
      </c>
      <c r="D40" s="3" t="s">
        <v>331</v>
      </c>
      <c r="E40" s="3" t="s">
        <v>132</v>
      </c>
    </row>
    <row r="41" spans="1:5">
      <c r="A41" s="3" t="s">
        <v>133</v>
      </c>
      <c r="B41" s="3" t="s">
        <v>380</v>
      </c>
      <c r="C41" s="3" t="s">
        <v>70</v>
      </c>
      <c r="D41" s="3" t="s">
        <v>362</v>
      </c>
      <c r="E41" s="3" t="s">
        <v>134</v>
      </c>
    </row>
    <row r="42" spans="1:5">
      <c r="A42" s="3" t="s">
        <v>135</v>
      </c>
      <c r="B42" s="3" t="s">
        <v>381</v>
      </c>
      <c r="C42" s="3" t="s">
        <v>64</v>
      </c>
      <c r="D42" s="3" t="s">
        <v>331</v>
      </c>
      <c r="E42" s="3" t="s">
        <v>136</v>
      </c>
    </row>
    <row r="43" spans="1:5">
      <c r="A43" s="3" t="s">
        <v>137</v>
      </c>
      <c r="B43" s="3" t="s">
        <v>382</v>
      </c>
      <c r="C43" s="3" t="s">
        <v>67</v>
      </c>
      <c r="D43" s="3" t="s">
        <v>331</v>
      </c>
      <c r="E43" s="3" t="s">
        <v>138</v>
      </c>
    </row>
    <row r="44" spans="1:5">
      <c r="A44" s="3" t="s">
        <v>139</v>
      </c>
      <c r="B44" s="3" t="s">
        <v>383</v>
      </c>
      <c r="C44" s="3" t="s">
        <v>77</v>
      </c>
      <c r="D44" s="3" t="s">
        <v>331</v>
      </c>
      <c r="E44" s="3" t="s">
        <v>140</v>
      </c>
    </row>
    <row r="45" spans="1:5">
      <c r="A45" s="3" t="s">
        <v>141</v>
      </c>
      <c r="B45" s="3" t="s">
        <v>384</v>
      </c>
      <c r="C45" s="3" t="s">
        <v>70</v>
      </c>
      <c r="D45" s="3" t="s">
        <v>331</v>
      </c>
      <c r="E45" s="3" t="s">
        <v>142</v>
      </c>
    </row>
    <row r="46" spans="1:5">
      <c r="A46" s="3" t="s">
        <v>143</v>
      </c>
      <c r="B46" s="3" t="s">
        <v>385</v>
      </c>
      <c r="C46" s="3" t="s">
        <v>64</v>
      </c>
      <c r="D46" s="3" t="s">
        <v>331</v>
      </c>
      <c r="E46" s="3" t="s">
        <v>144</v>
      </c>
    </row>
    <row r="47" spans="1:5">
      <c r="A47" s="3" t="s">
        <v>145</v>
      </c>
      <c r="B47" s="3" t="s">
        <v>386</v>
      </c>
      <c r="C47" s="3" t="s">
        <v>67</v>
      </c>
      <c r="D47" s="3" t="s">
        <v>371</v>
      </c>
      <c r="E47" s="3" t="s">
        <v>146</v>
      </c>
    </row>
    <row r="48" spans="1:5">
      <c r="A48" s="3" t="s">
        <v>147</v>
      </c>
      <c r="B48" s="3" t="s">
        <v>387</v>
      </c>
      <c r="C48" s="3" t="s">
        <v>77</v>
      </c>
      <c r="D48" s="3" t="s">
        <v>331</v>
      </c>
      <c r="E48" s="3" t="s">
        <v>148</v>
      </c>
    </row>
    <row r="49" spans="1:5">
      <c r="A49" s="3" t="s">
        <v>149</v>
      </c>
      <c r="B49" s="3" t="s">
        <v>388</v>
      </c>
      <c r="C49" s="3" t="s">
        <v>70</v>
      </c>
      <c r="D49" s="3" t="s">
        <v>371</v>
      </c>
      <c r="E49" s="3" t="s">
        <v>150</v>
      </c>
    </row>
    <row r="50" spans="1:5">
      <c r="A50" s="3" t="s">
        <v>151</v>
      </c>
      <c r="B50" s="3" t="s">
        <v>389</v>
      </c>
      <c r="C50" s="3" t="s">
        <v>64</v>
      </c>
      <c r="D50" s="3" t="s">
        <v>331</v>
      </c>
      <c r="E50" s="3" t="s">
        <v>152</v>
      </c>
    </row>
    <row r="51" spans="1:5">
      <c r="A51" s="3" t="s">
        <v>390</v>
      </c>
      <c r="B51" s="3" t="s">
        <v>391</v>
      </c>
      <c r="C51" s="3" t="s">
        <v>67</v>
      </c>
      <c r="D51" s="3" t="s">
        <v>335</v>
      </c>
      <c r="E51" s="3" t="s">
        <v>317</v>
      </c>
    </row>
    <row r="52" spans="1:5">
      <c r="A52" s="3" t="s">
        <v>153</v>
      </c>
      <c r="B52" s="3" t="s">
        <v>392</v>
      </c>
      <c r="C52" s="3" t="s">
        <v>77</v>
      </c>
      <c r="D52" s="3" t="s">
        <v>339</v>
      </c>
      <c r="E52" s="3" t="s">
        <v>154</v>
      </c>
    </row>
    <row r="53" spans="1:5">
      <c r="A53" s="3" t="s">
        <v>155</v>
      </c>
      <c r="B53" s="3" t="s">
        <v>393</v>
      </c>
      <c r="C53" s="3" t="s">
        <v>70</v>
      </c>
      <c r="D53" s="3" t="s">
        <v>331</v>
      </c>
      <c r="E53" s="3" t="s">
        <v>156</v>
      </c>
    </row>
    <row r="54" spans="1:5">
      <c r="A54" s="3" t="s">
        <v>157</v>
      </c>
      <c r="B54" s="3" t="s">
        <v>394</v>
      </c>
      <c r="C54" s="3" t="s">
        <v>64</v>
      </c>
      <c r="D54" s="3" t="s">
        <v>331</v>
      </c>
      <c r="E54" s="3" t="s">
        <v>158</v>
      </c>
    </row>
    <row r="55" spans="1:5">
      <c r="A55" s="3" t="s">
        <v>395</v>
      </c>
      <c r="B55" s="3" t="s">
        <v>396</v>
      </c>
      <c r="C55" s="3" t="s">
        <v>67</v>
      </c>
      <c r="D55" s="3" t="s">
        <v>374</v>
      </c>
      <c r="E55" s="3" t="s">
        <v>217</v>
      </c>
    </row>
    <row r="56" spans="1:5">
      <c r="A56" s="3" t="s">
        <v>397</v>
      </c>
      <c r="B56" s="3" t="s">
        <v>398</v>
      </c>
      <c r="C56" s="3" t="s">
        <v>77</v>
      </c>
      <c r="D56" s="3" t="s">
        <v>335</v>
      </c>
      <c r="E56" s="3" t="s">
        <v>219</v>
      </c>
    </row>
    <row r="57" spans="1:5">
      <c r="A57" s="3" t="s">
        <v>159</v>
      </c>
      <c r="B57" s="3" t="s">
        <v>399</v>
      </c>
      <c r="C57" s="3" t="s">
        <v>70</v>
      </c>
      <c r="D57" s="3" t="s">
        <v>362</v>
      </c>
      <c r="E57" s="3" t="s">
        <v>160</v>
      </c>
    </row>
    <row r="58" spans="1:5">
      <c r="A58" s="3" t="s">
        <v>400</v>
      </c>
      <c r="B58" s="3" t="s">
        <v>401</v>
      </c>
      <c r="C58" s="3" t="s">
        <v>64</v>
      </c>
      <c r="D58" s="3" t="s">
        <v>335</v>
      </c>
      <c r="E58" s="3" t="s">
        <v>222</v>
      </c>
    </row>
    <row r="59" spans="1:5">
      <c r="A59" s="3" t="s">
        <v>161</v>
      </c>
      <c r="B59" s="3" t="s">
        <v>402</v>
      </c>
      <c r="C59" s="3" t="s">
        <v>67</v>
      </c>
      <c r="D59" s="3" t="s">
        <v>331</v>
      </c>
      <c r="E59" s="3" t="s">
        <v>162</v>
      </c>
    </row>
    <row r="60" spans="1:5">
      <c r="A60" s="3" t="s">
        <v>163</v>
      </c>
      <c r="B60" s="3" t="s">
        <v>403</v>
      </c>
      <c r="C60" s="3" t="s">
        <v>77</v>
      </c>
      <c r="D60" s="3" t="s">
        <v>331</v>
      </c>
      <c r="E60" s="3" t="s">
        <v>164</v>
      </c>
    </row>
    <row r="61" spans="1:5">
      <c r="A61" s="3" t="s">
        <v>165</v>
      </c>
      <c r="B61" s="3" t="s">
        <v>404</v>
      </c>
      <c r="C61" s="3" t="s">
        <v>70</v>
      </c>
      <c r="D61" s="3" t="s">
        <v>339</v>
      </c>
      <c r="E61" s="3" t="s">
        <v>166</v>
      </c>
    </row>
    <row r="62" spans="1:5">
      <c r="A62" s="3" t="s">
        <v>167</v>
      </c>
      <c r="B62" s="3" t="s">
        <v>405</v>
      </c>
      <c r="C62" s="3" t="s">
        <v>64</v>
      </c>
      <c r="D62" s="3" t="s">
        <v>371</v>
      </c>
      <c r="E62" s="3" t="s">
        <v>65</v>
      </c>
    </row>
    <row r="63" spans="1:5">
      <c r="A63" s="3" t="s">
        <v>168</v>
      </c>
      <c r="B63" s="3" t="s">
        <v>406</v>
      </c>
      <c r="C63" s="3" t="s">
        <v>67</v>
      </c>
      <c r="D63" s="3" t="s">
        <v>339</v>
      </c>
      <c r="E63" s="3" t="s">
        <v>68</v>
      </c>
    </row>
    <row r="64" spans="1:5">
      <c r="A64" s="3" t="s">
        <v>169</v>
      </c>
      <c r="B64" s="3" t="s">
        <v>407</v>
      </c>
      <c r="C64" s="3" t="s">
        <v>77</v>
      </c>
      <c r="D64" s="3" t="s">
        <v>362</v>
      </c>
      <c r="E64" s="3" t="s">
        <v>170</v>
      </c>
    </row>
    <row r="65" spans="1:5">
      <c r="A65" s="3" t="s">
        <v>171</v>
      </c>
      <c r="B65" s="3" t="s">
        <v>408</v>
      </c>
      <c r="C65" s="3" t="s">
        <v>70</v>
      </c>
      <c r="D65" s="3" t="s">
        <v>331</v>
      </c>
      <c r="E65" s="3" t="s">
        <v>71</v>
      </c>
    </row>
    <row r="66" spans="1:5">
      <c r="A66" s="3" t="s">
        <v>172</v>
      </c>
      <c r="B66" s="3" t="s">
        <v>409</v>
      </c>
      <c r="C66" s="3" t="s">
        <v>64</v>
      </c>
      <c r="D66" s="3" t="s">
        <v>331</v>
      </c>
      <c r="E66" s="3" t="s">
        <v>73</v>
      </c>
    </row>
    <row r="67" spans="1:5">
      <c r="A67" s="3" t="s">
        <v>410</v>
      </c>
      <c r="B67" s="3" t="s">
        <v>411</v>
      </c>
      <c r="C67" s="3" t="s">
        <v>67</v>
      </c>
      <c r="D67" s="3" t="s">
        <v>374</v>
      </c>
      <c r="E67" s="3" t="s">
        <v>75</v>
      </c>
    </row>
    <row r="68" spans="1:5">
      <c r="A68" s="3" t="s">
        <v>412</v>
      </c>
      <c r="B68" s="3" t="s">
        <v>413</v>
      </c>
      <c r="C68" s="3" t="s">
        <v>77</v>
      </c>
      <c r="D68" s="3" t="s">
        <v>374</v>
      </c>
      <c r="E68" s="3" t="s">
        <v>78</v>
      </c>
    </row>
    <row r="69" spans="1:5">
      <c r="A69" s="3" t="s">
        <v>173</v>
      </c>
      <c r="B69" s="3" t="s">
        <v>414</v>
      </c>
      <c r="C69" s="3" t="s">
        <v>70</v>
      </c>
      <c r="D69" s="3" t="s">
        <v>331</v>
      </c>
      <c r="E69" s="3" t="s">
        <v>80</v>
      </c>
    </row>
    <row r="70" spans="1:5">
      <c r="A70" s="3" t="s">
        <v>174</v>
      </c>
      <c r="B70" s="3" t="s">
        <v>415</v>
      </c>
      <c r="C70" s="3" t="s">
        <v>64</v>
      </c>
      <c r="D70" s="3" t="s">
        <v>331</v>
      </c>
      <c r="E70" s="3" t="s">
        <v>82</v>
      </c>
    </row>
    <row r="71" spans="1:5">
      <c r="A71" s="3" t="s">
        <v>175</v>
      </c>
      <c r="B71" s="3" t="s">
        <v>416</v>
      </c>
      <c r="C71" s="3" t="s">
        <v>67</v>
      </c>
      <c r="D71" s="3" t="s">
        <v>331</v>
      </c>
      <c r="E71" s="3" t="s">
        <v>84</v>
      </c>
    </row>
    <row r="72" spans="1:5">
      <c r="A72" s="3" t="s">
        <v>176</v>
      </c>
      <c r="B72" s="3" t="s">
        <v>417</v>
      </c>
      <c r="C72" s="3" t="s">
        <v>77</v>
      </c>
      <c r="D72" s="3" t="s">
        <v>331</v>
      </c>
      <c r="E72" s="3" t="s">
        <v>86</v>
      </c>
    </row>
    <row r="73" spans="1:5">
      <c r="A73" s="3" t="s">
        <v>177</v>
      </c>
      <c r="B73" s="3" t="s">
        <v>418</v>
      </c>
      <c r="C73" s="3" t="s">
        <v>70</v>
      </c>
      <c r="D73" s="3" t="s">
        <v>339</v>
      </c>
      <c r="E73" s="3" t="s">
        <v>88</v>
      </c>
    </row>
    <row r="74" spans="1:5">
      <c r="A74" s="3" t="s">
        <v>178</v>
      </c>
      <c r="B74" s="3" t="s">
        <v>419</v>
      </c>
      <c r="C74" s="3" t="s">
        <v>64</v>
      </c>
      <c r="D74" s="3" t="s">
        <v>331</v>
      </c>
      <c r="E74" s="3" t="s">
        <v>90</v>
      </c>
    </row>
    <row r="75" spans="1:5">
      <c r="A75" s="3" t="s">
        <v>179</v>
      </c>
      <c r="B75" s="3" t="s">
        <v>420</v>
      </c>
      <c r="C75" s="3" t="s">
        <v>67</v>
      </c>
      <c r="D75" s="3" t="s">
        <v>331</v>
      </c>
      <c r="E75" s="3" t="s">
        <v>92</v>
      </c>
    </row>
    <row r="76" spans="1:5">
      <c r="A76" s="3" t="s">
        <v>180</v>
      </c>
      <c r="B76" s="3" t="s">
        <v>421</v>
      </c>
      <c r="C76" s="3" t="s">
        <v>77</v>
      </c>
      <c r="D76" s="3" t="s">
        <v>362</v>
      </c>
      <c r="E76" s="3" t="s">
        <v>94</v>
      </c>
    </row>
    <row r="77" spans="1:5">
      <c r="A77" s="3" t="s">
        <v>181</v>
      </c>
      <c r="B77" s="3" t="s">
        <v>422</v>
      </c>
      <c r="C77" s="3" t="s">
        <v>70</v>
      </c>
      <c r="D77" s="3" t="s">
        <v>331</v>
      </c>
      <c r="E77" s="3" t="s">
        <v>96</v>
      </c>
    </row>
    <row r="78" spans="1:5">
      <c r="A78" s="3" t="s">
        <v>182</v>
      </c>
      <c r="B78" s="3" t="s">
        <v>423</v>
      </c>
      <c r="C78" s="3" t="s">
        <v>64</v>
      </c>
      <c r="D78" s="3" t="s">
        <v>331</v>
      </c>
      <c r="E78" s="3" t="s">
        <v>98</v>
      </c>
    </row>
    <row r="79" spans="1:5">
      <c r="A79" s="3" t="s">
        <v>424</v>
      </c>
      <c r="B79" s="3" t="s">
        <v>425</v>
      </c>
      <c r="C79" s="3" t="s">
        <v>67</v>
      </c>
      <c r="D79" s="3" t="s">
        <v>335</v>
      </c>
      <c r="E79" s="3" t="s">
        <v>100</v>
      </c>
    </row>
    <row r="80" spans="1:5">
      <c r="A80" s="3" t="s">
        <v>183</v>
      </c>
      <c r="B80" s="3" t="s">
        <v>426</v>
      </c>
      <c r="C80" s="3" t="s">
        <v>77</v>
      </c>
      <c r="D80" s="3" t="s">
        <v>331</v>
      </c>
      <c r="E80" s="3" t="s">
        <v>102</v>
      </c>
    </row>
    <row r="81" spans="1:5">
      <c r="A81" s="3" t="s">
        <v>184</v>
      </c>
      <c r="B81" s="3" t="s">
        <v>427</v>
      </c>
      <c r="C81" s="3" t="s">
        <v>70</v>
      </c>
      <c r="D81" s="3" t="s">
        <v>331</v>
      </c>
      <c r="E81" s="3" t="s">
        <v>185</v>
      </c>
    </row>
    <row r="82" spans="1:5">
      <c r="A82" s="3" t="s">
        <v>186</v>
      </c>
      <c r="B82" s="3" t="s">
        <v>428</v>
      </c>
      <c r="C82" s="3" t="s">
        <v>64</v>
      </c>
      <c r="D82" s="3" t="s">
        <v>339</v>
      </c>
      <c r="E82" s="3" t="s">
        <v>104</v>
      </c>
    </row>
    <row r="83" spans="1:5">
      <c r="A83" s="3" t="s">
        <v>187</v>
      </c>
      <c r="B83" s="3" t="s">
        <v>429</v>
      </c>
      <c r="C83" s="3" t="s">
        <v>67</v>
      </c>
      <c r="D83" s="3" t="s">
        <v>331</v>
      </c>
      <c r="E83" s="3" t="s">
        <v>106</v>
      </c>
    </row>
    <row r="84" spans="1:5">
      <c r="A84" s="3" t="s">
        <v>430</v>
      </c>
      <c r="B84" s="3" t="s">
        <v>431</v>
      </c>
      <c r="C84" s="3" t="s">
        <v>77</v>
      </c>
      <c r="D84" s="3" t="s">
        <v>374</v>
      </c>
      <c r="E84" s="3" t="s">
        <v>108</v>
      </c>
    </row>
    <row r="85" spans="1:5">
      <c r="A85" s="3" t="s">
        <v>188</v>
      </c>
      <c r="B85" s="3" t="s">
        <v>432</v>
      </c>
      <c r="C85" s="3" t="s">
        <v>70</v>
      </c>
      <c r="D85" s="3" t="s">
        <v>331</v>
      </c>
      <c r="E85" s="3" t="s">
        <v>189</v>
      </c>
    </row>
    <row r="86" spans="1:5">
      <c r="A86" s="3" t="s">
        <v>190</v>
      </c>
      <c r="B86" s="3" t="s">
        <v>433</v>
      </c>
      <c r="C86" s="3" t="s">
        <v>64</v>
      </c>
      <c r="D86" s="3" t="s">
        <v>331</v>
      </c>
      <c r="E86" s="3" t="s">
        <v>110</v>
      </c>
    </row>
    <row r="87" spans="1:5">
      <c r="A87" s="3" t="s">
        <v>191</v>
      </c>
      <c r="B87" s="3" t="s">
        <v>434</v>
      </c>
      <c r="C87" s="3" t="s">
        <v>67</v>
      </c>
      <c r="D87" s="3" t="s">
        <v>331</v>
      </c>
      <c r="E87" s="3" t="s">
        <v>112</v>
      </c>
    </row>
    <row r="88" spans="1:5">
      <c r="A88" s="3" t="s">
        <v>192</v>
      </c>
      <c r="B88" s="3" t="s">
        <v>435</v>
      </c>
      <c r="C88" s="3" t="s">
        <v>77</v>
      </c>
      <c r="D88" s="3" t="s">
        <v>331</v>
      </c>
      <c r="E88" s="3" t="s">
        <v>114</v>
      </c>
    </row>
    <row r="89" spans="1:5">
      <c r="A89" s="3" t="s">
        <v>436</v>
      </c>
      <c r="B89" s="3" t="s">
        <v>437</v>
      </c>
      <c r="C89" s="3" t="s">
        <v>70</v>
      </c>
      <c r="D89" s="3" t="s">
        <v>335</v>
      </c>
      <c r="E89" s="3" t="s">
        <v>116</v>
      </c>
    </row>
    <row r="90" spans="1:5">
      <c r="A90" s="3" t="s">
        <v>193</v>
      </c>
      <c r="B90" s="3" t="s">
        <v>438</v>
      </c>
      <c r="C90" s="3" t="s">
        <v>64</v>
      </c>
      <c r="D90" s="3" t="s">
        <v>331</v>
      </c>
      <c r="E90" s="3" t="s">
        <v>118</v>
      </c>
    </row>
    <row r="91" spans="1:5">
      <c r="A91" s="3" t="s">
        <v>194</v>
      </c>
      <c r="B91" s="3" t="s">
        <v>439</v>
      </c>
      <c r="C91" s="3" t="s">
        <v>67</v>
      </c>
      <c r="D91" s="3" t="s">
        <v>362</v>
      </c>
      <c r="E91" s="3" t="s">
        <v>120</v>
      </c>
    </row>
    <row r="92" spans="1:5">
      <c r="A92" s="3" t="s">
        <v>195</v>
      </c>
      <c r="B92" s="3" t="s">
        <v>440</v>
      </c>
      <c r="C92" s="3" t="s">
        <v>77</v>
      </c>
      <c r="D92" s="3" t="s">
        <v>331</v>
      </c>
      <c r="E92" s="3" t="s">
        <v>122</v>
      </c>
    </row>
    <row r="93" spans="1:5">
      <c r="A93" s="3" t="s">
        <v>196</v>
      </c>
      <c r="B93" s="3" t="s">
        <v>441</v>
      </c>
      <c r="C93" s="3" t="s">
        <v>70</v>
      </c>
      <c r="D93" s="3" t="s">
        <v>331</v>
      </c>
      <c r="E93" s="3" t="s">
        <v>197</v>
      </c>
    </row>
    <row r="94" spans="1:5">
      <c r="A94" s="3" t="s">
        <v>198</v>
      </c>
      <c r="B94" s="3" t="s">
        <v>330</v>
      </c>
      <c r="C94" s="3" t="s">
        <v>64</v>
      </c>
      <c r="D94" s="3" t="s">
        <v>331</v>
      </c>
      <c r="E94" s="3" t="s">
        <v>124</v>
      </c>
    </row>
    <row r="95" spans="1:5">
      <c r="A95" s="3" t="s">
        <v>199</v>
      </c>
      <c r="B95" s="3" t="s">
        <v>332</v>
      </c>
      <c r="C95" s="3" t="s">
        <v>67</v>
      </c>
      <c r="D95" s="3" t="s">
        <v>331</v>
      </c>
      <c r="E95" s="3" t="s">
        <v>126</v>
      </c>
    </row>
    <row r="96" spans="1:5">
      <c r="A96" s="3" t="s">
        <v>200</v>
      </c>
      <c r="B96" s="3" t="s">
        <v>334</v>
      </c>
      <c r="C96" s="3" t="s">
        <v>77</v>
      </c>
      <c r="D96" s="3" t="s">
        <v>362</v>
      </c>
      <c r="E96" s="3" t="s">
        <v>201</v>
      </c>
    </row>
    <row r="97" spans="1:5">
      <c r="A97" s="3" t="s">
        <v>202</v>
      </c>
      <c r="B97" s="3" t="s">
        <v>336</v>
      </c>
      <c r="C97" s="3" t="s">
        <v>70</v>
      </c>
      <c r="D97" s="3" t="s">
        <v>331</v>
      </c>
      <c r="E97" s="3" t="s">
        <v>128</v>
      </c>
    </row>
    <row r="98" spans="1:5">
      <c r="A98" s="3" t="s">
        <v>203</v>
      </c>
      <c r="B98" s="3" t="s">
        <v>337</v>
      </c>
      <c r="C98" s="3" t="s">
        <v>64</v>
      </c>
      <c r="D98" s="3" t="s">
        <v>331</v>
      </c>
      <c r="E98" s="3" t="s">
        <v>204</v>
      </c>
    </row>
    <row r="99" spans="1:5">
      <c r="A99" s="3" t="s">
        <v>205</v>
      </c>
      <c r="B99" s="3" t="s">
        <v>338</v>
      </c>
      <c r="C99" s="3" t="s">
        <v>67</v>
      </c>
      <c r="D99" s="3" t="s">
        <v>331</v>
      </c>
      <c r="E99" s="3" t="s">
        <v>130</v>
      </c>
    </row>
    <row r="100" spans="1:5">
      <c r="A100" s="3" t="s">
        <v>442</v>
      </c>
      <c r="B100" s="3" t="s">
        <v>340</v>
      </c>
      <c r="C100" s="3" t="s">
        <v>77</v>
      </c>
      <c r="D100" s="3" t="s">
        <v>374</v>
      </c>
      <c r="E100" s="3" t="s">
        <v>132</v>
      </c>
    </row>
    <row r="101" spans="1:5">
      <c r="A101" s="3" t="s">
        <v>206</v>
      </c>
      <c r="B101" s="3" t="s">
        <v>341</v>
      </c>
      <c r="C101" s="3" t="s">
        <v>70</v>
      </c>
      <c r="D101" s="3" t="s">
        <v>331</v>
      </c>
      <c r="E101" s="3" t="s">
        <v>134</v>
      </c>
    </row>
    <row r="102" spans="1:5">
      <c r="A102" s="3" t="s">
        <v>207</v>
      </c>
      <c r="B102" s="3" t="s">
        <v>342</v>
      </c>
      <c r="C102" s="3" t="s">
        <v>64</v>
      </c>
      <c r="D102" s="3" t="s">
        <v>331</v>
      </c>
      <c r="E102" s="3" t="s">
        <v>136</v>
      </c>
    </row>
    <row r="103" spans="1:5">
      <c r="A103" s="3" t="s">
        <v>208</v>
      </c>
      <c r="B103" s="3" t="s">
        <v>343</v>
      </c>
      <c r="C103" s="3" t="s">
        <v>67</v>
      </c>
      <c r="D103" s="3" t="s">
        <v>362</v>
      </c>
      <c r="E103" s="3" t="s">
        <v>138</v>
      </c>
    </row>
    <row r="104" spans="1:5">
      <c r="A104" s="3" t="s">
        <v>443</v>
      </c>
      <c r="B104" s="3" t="s">
        <v>344</v>
      </c>
      <c r="C104" s="3" t="s">
        <v>77</v>
      </c>
      <c r="D104" s="3" t="s">
        <v>335</v>
      </c>
      <c r="E104" s="3" t="s">
        <v>140</v>
      </c>
    </row>
    <row r="105" spans="1:5">
      <c r="A105" s="3" t="s">
        <v>444</v>
      </c>
      <c r="B105" s="3" t="s">
        <v>345</v>
      </c>
      <c r="C105" s="3" t="s">
        <v>70</v>
      </c>
      <c r="D105" s="3" t="s">
        <v>335</v>
      </c>
      <c r="E105" s="3" t="s">
        <v>142</v>
      </c>
    </row>
    <row r="106" spans="1:5">
      <c r="A106" s="3" t="s">
        <v>209</v>
      </c>
      <c r="B106" s="3" t="s">
        <v>346</v>
      </c>
      <c r="C106" s="3" t="s">
        <v>64</v>
      </c>
      <c r="D106" s="3" t="s">
        <v>331</v>
      </c>
      <c r="E106" s="3" t="s">
        <v>144</v>
      </c>
    </row>
    <row r="107" spans="1:5">
      <c r="A107" s="3" t="s">
        <v>210</v>
      </c>
      <c r="B107" s="3" t="s">
        <v>347</v>
      </c>
      <c r="C107" s="3" t="s">
        <v>67</v>
      </c>
      <c r="D107" s="3" t="s">
        <v>339</v>
      </c>
      <c r="E107" s="3" t="s">
        <v>146</v>
      </c>
    </row>
    <row r="108" spans="1:5">
      <c r="A108" s="3" t="s">
        <v>211</v>
      </c>
      <c r="B108" s="3" t="s">
        <v>348</v>
      </c>
      <c r="C108" s="3" t="s">
        <v>77</v>
      </c>
      <c r="D108" s="3" t="s">
        <v>331</v>
      </c>
      <c r="E108" s="3" t="s">
        <v>148</v>
      </c>
    </row>
    <row r="109" spans="1:5">
      <c r="A109" s="3" t="s">
        <v>212</v>
      </c>
      <c r="B109" s="3" t="s">
        <v>349</v>
      </c>
      <c r="C109" s="3" t="s">
        <v>70</v>
      </c>
      <c r="D109" s="3" t="s">
        <v>339</v>
      </c>
      <c r="E109" s="3" t="s">
        <v>150</v>
      </c>
    </row>
    <row r="110" spans="1:5">
      <c r="A110" s="3" t="s">
        <v>213</v>
      </c>
      <c r="B110" s="3" t="s">
        <v>350</v>
      </c>
      <c r="C110" s="3" t="s">
        <v>64</v>
      </c>
      <c r="D110" s="3" t="s">
        <v>331</v>
      </c>
      <c r="E110" s="3" t="s">
        <v>152</v>
      </c>
    </row>
    <row r="111" spans="1:5">
      <c r="A111" s="3" t="s">
        <v>445</v>
      </c>
      <c r="B111" s="3" t="s">
        <v>351</v>
      </c>
      <c r="C111" s="3" t="s">
        <v>67</v>
      </c>
      <c r="D111" s="3" t="s">
        <v>374</v>
      </c>
      <c r="E111" s="3" t="s">
        <v>317</v>
      </c>
    </row>
    <row r="112" spans="1:5">
      <c r="A112" s="3" t="s">
        <v>446</v>
      </c>
      <c r="B112" s="3" t="s">
        <v>352</v>
      </c>
      <c r="C112" s="3" t="s">
        <v>77</v>
      </c>
      <c r="D112" s="3" t="s">
        <v>335</v>
      </c>
      <c r="E112" s="3" t="s">
        <v>154</v>
      </c>
    </row>
    <row r="113" spans="1:5">
      <c r="A113" s="3" t="s">
        <v>214</v>
      </c>
      <c r="B113" s="3" t="s">
        <v>354</v>
      </c>
      <c r="C113" s="3" t="s">
        <v>70</v>
      </c>
      <c r="D113" s="3" t="s">
        <v>331</v>
      </c>
      <c r="E113" s="3" t="s">
        <v>156</v>
      </c>
    </row>
    <row r="114" spans="1:5">
      <c r="A114" s="3" t="s">
        <v>215</v>
      </c>
      <c r="B114" s="3" t="s">
        <v>355</v>
      </c>
      <c r="C114" s="3" t="s">
        <v>64</v>
      </c>
      <c r="D114" s="3" t="s">
        <v>331</v>
      </c>
      <c r="E114" s="3" t="s">
        <v>158</v>
      </c>
    </row>
    <row r="115" spans="1:5">
      <c r="A115" s="3" t="s">
        <v>216</v>
      </c>
      <c r="B115" s="3" t="s">
        <v>356</v>
      </c>
      <c r="C115" s="3" t="s">
        <v>67</v>
      </c>
      <c r="D115" s="3" t="s">
        <v>331</v>
      </c>
      <c r="E115" s="3" t="s">
        <v>217</v>
      </c>
    </row>
    <row r="116" spans="1:5">
      <c r="A116" s="3" t="s">
        <v>218</v>
      </c>
      <c r="B116" s="3" t="s">
        <v>357</v>
      </c>
      <c r="C116" s="3" t="s">
        <v>77</v>
      </c>
      <c r="D116" s="3" t="s">
        <v>331</v>
      </c>
      <c r="E116" s="3" t="s">
        <v>219</v>
      </c>
    </row>
    <row r="117" spans="1:5">
      <c r="A117" s="3" t="s">
        <v>220</v>
      </c>
      <c r="B117" s="3" t="s">
        <v>33</v>
      </c>
      <c r="C117" s="3" t="s">
        <v>70</v>
      </c>
      <c r="D117" s="3" t="s">
        <v>339</v>
      </c>
      <c r="E117" s="3" t="s">
        <v>160</v>
      </c>
    </row>
    <row r="118" spans="1:5">
      <c r="A118" s="3" t="s">
        <v>221</v>
      </c>
      <c r="B118" s="3" t="s">
        <v>359</v>
      </c>
      <c r="C118" s="3" t="s">
        <v>64</v>
      </c>
      <c r="D118" s="3" t="s">
        <v>371</v>
      </c>
      <c r="E118" s="3" t="s">
        <v>222</v>
      </c>
    </row>
    <row r="119" spans="1:5">
      <c r="A119" s="3" t="s">
        <v>223</v>
      </c>
      <c r="B119" s="3" t="s">
        <v>360</v>
      </c>
      <c r="C119" s="3" t="s">
        <v>67</v>
      </c>
      <c r="D119" s="3" t="s">
        <v>331</v>
      </c>
      <c r="E119" s="3" t="s">
        <v>162</v>
      </c>
    </row>
    <row r="120" spans="1:5">
      <c r="A120" s="3" t="s">
        <v>224</v>
      </c>
      <c r="B120" s="3" t="s">
        <v>361</v>
      </c>
      <c r="C120" s="3" t="s">
        <v>77</v>
      </c>
      <c r="D120" s="3" t="s">
        <v>331</v>
      </c>
      <c r="E120" s="3" t="s">
        <v>164</v>
      </c>
    </row>
    <row r="121" spans="1:5">
      <c r="A121" s="3" t="s">
        <v>225</v>
      </c>
      <c r="B121" s="3" t="s">
        <v>363</v>
      </c>
      <c r="C121" s="3" t="s">
        <v>70</v>
      </c>
      <c r="D121" s="3" t="s">
        <v>331</v>
      </c>
      <c r="E121" s="3" t="s">
        <v>166</v>
      </c>
    </row>
    <row r="122" spans="1:5">
      <c r="A122" s="3" t="s">
        <v>226</v>
      </c>
      <c r="B122" s="3" t="s">
        <v>364</v>
      </c>
      <c r="C122" s="3" t="s">
        <v>64</v>
      </c>
      <c r="D122" s="3" t="s">
        <v>331</v>
      </c>
      <c r="E122" s="3" t="s">
        <v>65</v>
      </c>
    </row>
    <row r="123" spans="1:5">
      <c r="A123" s="3" t="s">
        <v>227</v>
      </c>
      <c r="B123" s="3" t="s">
        <v>365</v>
      </c>
      <c r="C123" s="3" t="s">
        <v>67</v>
      </c>
      <c r="D123" s="3" t="s">
        <v>339</v>
      </c>
      <c r="E123" s="3" t="s">
        <v>68</v>
      </c>
    </row>
    <row r="124" spans="1:5">
      <c r="A124" s="3" t="s">
        <v>228</v>
      </c>
      <c r="B124" s="3" t="s">
        <v>366</v>
      </c>
      <c r="C124" s="3" t="s">
        <v>77</v>
      </c>
      <c r="D124" s="3" t="s">
        <v>331</v>
      </c>
      <c r="E124" s="3" t="s">
        <v>170</v>
      </c>
    </row>
    <row r="125" spans="1:5">
      <c r="A125" s="3" t="s">
        <v>447</v>
      </c>
      <c r="B125" s="3" t="s">
        <v>368</v>
      </c>
      <c r="C125" s="3" t="s">
        <v>70</v>
      </c>
      <c r="D125" s="3" t="s">
        <v>374</v>
      </c>
      <c r="E125" s="3" t="s">
        <v>71</v>
      </c>
    </row>
    <row r="126" spans="1:5">
      <c r="A126" s="3" t="s">
        <v>448</v>
      </c>
      <c r="B126" s="3" t="s">
        <v>369</v>
      </c>
      <c r="C126" s="3" t="s">
        <v>64</v>
      </c>
      <c r="D126" s="3" t="s">
        <v>335</v>
      </c>
      <c r="E126" s="3" t="s">
        <v>73</v>
      </c>
    </row>
    <row r="127" spans="1:5">
      <c r="A127" s="3" t="s">
        <v>229</v>
      </c>
      <c r="B127" s="3" t="s">
        <v>370</v>
      </c>
      <c r="C127" s="3" t="s">
        <v>67</v>
      </c>
      <c r="D127" s="3" t="s">
        <v>331</v>
      </c>
      <c r="E127" s="3" t="s">
        <v>75</v>
      </c>
    </row>
    <row r="128" spans="1:5">
      <c r="A128" s="3" t="s">
        <v>449</v>
      </c>
      <c r="B128" s="3" t="s">
        <v>373</v>
      </c>
      <c r="C128" s="3" t="s">
        <v>77</v>
      </c>
      <c r="D128" s="3" t="s">
        <v>335</v>
      </c>
      <c r="E128" s="3" t="s">
        <v>78</v>
      </c>
    </row>
    <row r="129" spans="1:5">
      <c r="A129" s="3" t="s">
        <v>230</v>
      </c>
      <c r="B129" s="3" t="s">
        <v>375</v>
      </c>
      <c r="C129" s="3" t="s">
        <v>70</v>
      </c>
      <c r="D129" s="3" t="s">
        <v>331</v>
      </c>
      <c r="E129" s="3" t="s">
        <v>80</v>
      </c>
    </row>
    <row r="130" spans="1:5">
      <c r="A130" s="3" t="s">
        <v>231</v>
      </c>
      <c r="B130" s="3" t="s">
        <v>377</v>
      </c>
      <c r="C130" s="3" t="s">
        <v>64</v>
      </c>
      <c r="D130" s="3" t="s">
        <v>331</v>
      </c>
      <c r="E130" s="3" t="s">
        <v>82</v>
      </c>
    </row>
    <row r="131" spans="1:5">
      <c r="A131" s="3" t="s">
        <v>232</v>
      </c>
      <c r="B131" s="3" t="s">
        <v>378</v>
      </c>
      <c r="C131" s="3" t="s">
        <v>67</v>
      </c>
      <c r="D131" s="3" t="s">
        <v>331</v>
      </c>
      <c r="E131" s="3" t="s">
        <v>84</v>
      </c>
    </row>
    <row r="132" spans="1:5">
      <c r="A132" s="3" t="s">
        <v>233</v>
      </c>
      <c r="B132" s="3" t="s">
        <v>379</v>
      </c>
      <c r="C132" s="3" t="s">
        <v>77</v>
      </c>
      <c r="D132" s="3" t="s">
        <v>339</v>
      </c>
      <c r="E132" s="3" t="s">
        <v>86</v>
      </c>
    </row>
    <row r="133" spans="1:5">
      <c r="A133" s="3" t="s">
        <v>234</v>
      </c>
      <c r="B133" s="3" t="s">
        <v>380</v>
      </c>
      <c r="C133" s="3" t="s">
        <v>70</v>
      </c>
      <c r="D133" s="3" t="s">
        <v>371</v>
      </c>
      <c r="E133" s="3" t="s">
        <v>88</v>
      </c>
    </row>
    <row r="134" spans="1:5">
      <c r="A134" s="3" t="s">
        <v>235</v>
      </c>
      <c r="B134" s="3" t="s">
        <v>381</v>
      </c>
      <c r="C134" s="3" t="s">
        <v>64</v>
      </c>
      <c r="D134" s="3" t="s">
        <v>362</v>
      </c>
      <c r="E134" s="3" t="s">
        <v>90</v>
      </c>
    </row>
    <row r="135" spans="1:5">
      <c r="A135" s="3" t="s">
        <v>236</v>
      </c>
      <c r="B135" s="3" t="s">
        <v>382</v>
      </c>
      <c r="C135" s="3" t="s">
        <v>67</v>
      </c>
      <c r="D135" s="3" t="s">
        <v>331</v>
      </c>
      <c r="E135" s="3" t="s">
        <v>92</v>
      </c>
    </row>
    <row r="136" spans="1:5">
      <c r="A136" s="3" t="s">
        <v>237</v>
      </c>
      <c r="B136" s="3" t="s">
        <v>383</v>
      </c>
      <c r="C136" s="3" t="s">
        <v>77</v>
      </c>
      <c r="D136" s="3" t="s">
        <v>331</v>
      </c>
      <c r="E136" s="3" t="s">
        <v>94</v>
      </c>
    </row>
    <row r="137" spans="1:5">
      <c r="A137" s="3" t="s">
        <v>238</v>
      </c>
      <c r="B137" s="3" t="s">
        <v>384</v>
      </c>
      <c r="C137" s="3" t="s">
        <v>70</v>
      </c>
      <c r="D137" s="3" t="s">
        <v>331</v>
      </c>
      <c r="E137" s="3" t="s">
        <v>96</v>
      </c>
    </row>
    <row r="138" spans="1:5">
      <c r="A138" s="3" t="s">
        <v>239</v>
      </c>
      <c r="B138" s="3" t="s">
        <v>385</v>
      </c>
      <c r="C138" s="3" t="s">
        <v>64</v>
      </c>
      <c r="D138" s="3" t="s">
        <v>331</v>
      </c>
      <c r="E138" s="3" t="s">
        <v>98</v>
      </c>
    </row>
    <row r="139" spans="1:5">
      <c r="A139" s="3" t="s">
        <v>240</v>
      </c>
      <c r="B139" s="3" t="s">
        <v>386</v>
      </c>
      <c r="C139" s="3" t="s">
        <v>67</v>
      </c>
      <c r="D139" s="3" t="s">
        <v>362</v>
      </c>
      <c r="E139" s="3" t="s">
        <v>100</v>
      </c>
    </row>
    <row r="140" spans="1:5">
      <c r="A140" s="3" t="s">
        <v>241</v>
      </c>
      <c r="B140" s="3" t="s">
        <v>387</v>
      </c>
      <c r="C140" s="3" t="s">
        <v>77</v>
      </c>
      <c r="D140" s="3" t="s">
        <v>331</v>
      </c>
      <c r="E140" s="3" t="s">
        <v>102</v>
      </c>
    </row>
    <row r="141" spans="1:5">
      <c r="A141" s="3" t="s">
        <v>242</v>
      </c>
      <c r="B141" s="3" t="s">
        <v>388</v>
      </c>
      <c r="C141" s="3" t="s">
        <v>70</v>
      </c>
      <c r="D141" s="3" t="s">
        <v>362</v>
      </c>
      <c r="E141" s="3" t="s">
        <v>185</v>
      </c>
    </row>
    <row r="142" spans="1:5">
      <c r="A142" s="3" t="s">
        <v>243</v>
      </c>
      <c r="B142" s="3" t="s">
        <v>389</v>
      </c>
      <c r="C142" s="3" t="s">
        <v>64</v>
      </c>
      <c r="D142" s="3" t="s">
        <v>371</v>
      </c>
      <c r="E142" s="3" t="s">
        <v>104</v>
      </c>
    </row>
    <row r="143" spans="1:5">
      <c r="A143" s="3" t="s">
        <v>244</v>
      </c>
      <c r="B143" s="3" t="s">
        <v>391</v>
      </c>
      <c r="C143" s="3" t="s">
        <v>67</v>
      </c>
      <c r="D143" s="3" t="s">
        <v>331</v>
      </c>
      <c r="E143" s="3" t="s">
        <v>106</v>
      </c>
    </row>
    <row r="144" spans="1:5">
      <c r="A144" s="3" t="s">
        <v>245</v>
      </c>
      <c r="B144" s="3" t="s">
        <v>392</v>
      </c>
      <c r="C144" s="3" t="s">
        <v>77</v>
      </c>
      <c r="D144" s="3" t="s">
        <v>331</v>
      </c>
      <c r="E144" s="3" t="s">
        <v>108</v>
      </c>
    </row>
    <row r="145" spans="1:5">
      <c r="A145" s="3" t="s">
        <v>246</v>
      </c>
      <c r="B145" s="3" t="s">
        <v>393</v>
      </c>
      <c r="C145" s="3" t="s">
        <v>70</v>
      </c>
      <c r="D145" s="3" t="s">
        <v>331</v>
      </c>
      <c r="E145" s="3" t="s">
        <v>189</v>
      </c>
    </row>
    <row r="146" spans="1:5">
      <c r="A146" s="3" t="s">
        <v>247</v>
      </c>
      <c r="B146" s="3" t="s">
        <v>394</v>
      </c>
      <c r="C146" s="3" t="s">
        <v>64</v>
      </c>
      <c r="D146" s="3" t="s">
        <v>331</v>
      </c>
      <c r="E146" s="3" t="s">
        <v>110</v>
      </c>
    </row>
    <row r="147" spans="1:5">
      <c r="A147" s="3" t="s">
        <v>248</v>
      </c>
      <c r="B147" s="3" t="s">
        <v>396</v>
      </c>
      <c r="C147" s="3" t="s">
        <v>67</v>
      </c>
      <c r="D147" s="3" t="s">
        <v>331</v>
      </c>
      <c r="E147" s="3" t="s">
        <v>112</v>
      </c>
    </row>
    <row r="148" spans="1:5">
      <c r="A148" s="3" t="s">
        <v>450</v>
      </c>
      <c r="B148" s="3" t="s">
        <v>398</v>
      </c>
      <c r="C148" s="3" t="s">
        <v>77</v>
      </c>
      <c r="D148" s="3" t="s">
        <v>374</v>
      </c>
      <c r="E148" s="3" t="s">
        <v>114</v>
      </c>
    </row>
    <row r="149" spans="1:5">
      <c r="A149" s="3" t="s">
        <v>249</v>
      </c>
      <c r="B149" s="3" t="s">
        <v>399</v>
      </c>
      <c r="C149" s="3" t="s">
        <v>70</v>
      </c>
      <c r="D149" s="3" t="s">
        <v>331</v>
      </c>
      <c r="E149" s="3" t="s">
        <v>116</v>
      </c>
    </row>
    <row r="150" spans="1:5">
      <c r="A150" s="3" t="s">
        <v>250</v>
      </c>
      <c r="B150" s="3" t="s">
        <v>401</v>
      </c>
      <c r="C150" s="3" t="s">
        <v>64</v>
      </c>
      <c r="D150" s="3" t="s">
        <v>331</v>
      </c>
      <c r="E150" s="3" t="s">
        <v>118</v>
      </c>
    </row>
    <row r="151" spans="1:5">
      <c r="A151" s="3" t="s">
        <v>251</v>
      </c>
      <c r="B151" s="3" t="s">
        <v>402</v>
      </c>
      <c r="C151" s="3" t="s">
        <v>67</v>
      </c>
      <c r="D151" s="3" t="s">
        <v>331</v>
      </c>
      <c r="E151" s="3" t="s">
        <v>120</v>
      </c>
    </row>
    <row r="152" spans="1:5">
      <c r="A152" s="3" t="s">
        <v>252</v>
      </c>
      <c r="B152" s="3" t="s">
        <v>403</v>
      </c>
      <c r="C152" s="3" t="s">
        <v>77</v>
      </c>
      <c r="D152" s="3" t="s">
        <v>362</v>
      </c>
      <c r="E152" s="3" t="s">
        <v>122</v>
      </c>
    </row>
    <row r="153" spans="1:5">
      <c r="A153" s="3" t="s">
        <v>253</v>
      </c>
      <c r="B153" s="3" t="s">
        <v>404</v>
      </c>
      <c r="C153" s="3" t="s">
        <v>70</v>
      </c>
      <c r="D153" s="3" t="s">
        <v>339</v>
      </c>
      <c r="E153" s="3" t="s">
        <v>197</v>
      </c>
    </row>
    <row r="154" spans="1:5">
      <c r="A154" s="3" t="s">
        <v>254</v>
      </c>
      <c r="B154" s="3" t="s">
        <v>405</v>
      </c>
      <c r="C154" s="3" t="s">
        <v>64</v>
      </c>
      <c r="D154" s="3" t="s">
        <v>371</v>
      </c>
      <c r="E154" s="3" t="s">
        <v>124</v>
      </c>
    </row>
    <row r="155" spans="1:5">
      <c r="A155" s="3" t="s">
        <v>255</v>
      </c>
      <c r="B155" s="3" t="s">
        <v>406</v>
      </c>
      <c r="C155" s="3" t="s">
        <v>67</v>
      </c>
      <c r="D155" s="3" t="s">
        <v>331</v>
      </c>
      <c r="E155" s="3" t="s">
        <v>126</v>
      </c>
    </row>
    <row r="156" spans="1:5">
      <c r="A156" s="3" t="s">
        <v>451</v>
      </c>
      <c r="B156" s="3" t="s">
        <v>407</v>
      </c>
      <c r="C156" s="3" t="s">
        <v>77</v>
      </c>
      <c r="D156" s="3" t="s">
        <v>335</v>
      </c>
      <c r="E156" s="3" t="s">
        <v>201</v>
      </c>
    </row>
    <row r="157" spans="1:5">
      <c r="A157" s="3" t="s">
        <v>256</v>
      </c>
      <c r="B157" s="3" t="s">
        <v>408</v>
      </c>
      <c r="C157" s="3" t="s">
        <v>70</v>
      </c>
      <c r="D157" s="3" t="s">
        <v>362</v>
      </c>
      <c r="E157" s="3" t="s">
        <v>128</v>
      </c>
    </row>
    <row r="158" spans="1:5">
      <c r="A158" s="3" t="s">
        <v>257</v>
      </c>
      <c r="B158" s="3" t="s">
        <v>409</v>
      </c>
      <c r="C158" s="3" t="s">
        <v>64</v>
      </c>
      <c r="D158" s="3" t="s">
        <v>331</v>
      </c>
      <c r="E158" s="3" t="s">
        <v>204</v>
      </c>
    </row>
    <row r="159" spans="1:5">
      <c r="A159" s="3" t="s">
        <v>258</v>
      </c>
      <c r="B159" s="3" t="s">
        <v>411</v>
      </c>
      <c r="C159" s="3" t="s">
        <v>67</v>
      </c>
      <c r="D159" s="3" t="s">
        <v>331</v>
      </c>
      <c r="E159" s="3" t="s">
        <v>130</v>
      </c>
    </row>
    <row r="160" spans="1:5">
      <c r="A160" s="3" t="s">
        <v>259</v>
      </c>
      <c r="B160" s="3" t="s">
        <v>413</v>
      </c>
      <c r="C160" s="3" t="s">
        <v>77</v>
      </c>
      <c r="D160" s="3" t="s">
        <v>331</v>
      </c>
      <c r="E160" s="3" t="s">
        <v>132</v>
      </c>
    </row>
    <row r="161" spans="1:5">
      <c r="A161" s="3" t="s">
        <v>260</v>
      </c>
      <c r="B161" s="3" t="s">
        <v>414</v>
      </c>
      <c r="C161" s="3" t="s">
        <v>70</v>
      </c>
      <c r="D161" s="3" t="s">
        <v>331</v>
      </c>
      <c r="E161" s="3" t="s">
        <v>134</v>
      </c>
    </row>
    <row r="162" spans="1:5">
      <c r="A162" s="3" t="s">
        <v>261</v>
      </c>
      <c r="B162" s="3" t="s">
        <v>415</v>
      </c>
      <c r="C162" s="3" t="s">
        <v>64</v>
      </c>
      <c r="D162" s="3" t="s">
        <v>371</v>
      </c>
      <c r="E162" s="3" t="s">
        <v>136</v>
      </c>
    </row>
    <row r="163" spans="1:5">
      <c r="A163" s="3" t="s">
        <v>262</v>
      </c>
      <c r="B163" s="3" t="s">
        <v>416</v>
      </c>
      <c r="C163" s="3" t="s">
        <v>67</v>
      </c>
      <c r="D163" s="3" t="s">
        <v>362</v>
      </c>
      <c r="E163" s="3" t="s">
        <v>138</v>
      </c>
    </row>
    <row r="164" spans="1:5">
      <c r="A164" s="3" t="s">
        <v>263</v>
      </c>
      <c r="B164" s="3" t="s">
        <v>417</v>
      </c>
      <c r="C164" s="3" t="s">
        <v>77</v>
      </c>
      <c r="D164" s="3" t="s">
        <v>362</v>
      </c>
      <c r="E164" s="3" t="s">
        <v>140</v>
      </c>
    </row>
    <row r="165" spans="1:5">
      <c r="A165" s="3" t="s">
        <v>264</v>
      </c>
      <c r="B165" s="3" t="s">
        <v>418</v>
      </c>
      <c r="C165" s="3" t="s">
        <v>70</v>
      </c>
      <c r="D165" s="3" t="s">
        <v>331</v>
      </c>
      <c r="E165" s="3" t="s">
        <v>142</v>
      </c>
    </row>
    <row r="166" spans="1:5">
      <c r="A166" s="3" t="s">
        <v>265</v>
      </c>
      <c r="B166" s="3" t="s">
        <v>419</v>
      </c>
      <c r="C166" s="3" t="s">
        <v>64</v>
      </c>
      <c r="D166" s="3" t="s">
        <v>331</v>
      </c>
      <c r="E166" s="3" t="s">
        <v>144</v>
      </c>
    </row>
    <row r="167" spans="1:5">
      <c r="A167" s="3" t="s">
        <v>266</v>
      </c>
      <c r="B167" s="3" t="s">
        <v>420</v>
      </c>
      <c r="C167" s="3" t="s">
        <v>67</v>
      </c>
      <c r="D167" s="3" t="s">
        <v>331</v>
      </c>
      <c r="E167" s="3" t="s">
        <v>146</v>
      </c>
    </row>
    <row r="168" spans="1:5">
      <c r="A168" s="3" t="s">
        <v>452</v>
      </c>
      <c r="B168" s="3" t="s">
        <v>421</v>
      </c>
      <c r="C168" s="3" t="s">
        <v>77</v>
      </c>
      <c r="D168" s="3" t="s">
        <v>374</v>
      </c>
      <c r="E168" s="3" t="s">
        <v>148</v>
      </c>
    </row>
    <row r="169" spans="1:5">
      <c r="A169" s="3" t="s">
        <v>267</v>
      </c>
      <c r="B169" s="3" t="s">
        <v>422</v>
      </c>
      <c r="C169" s="3" t="s">
        <v>70</v>
      </c>
      <c r="D169" s="3" t="s">
        <v>331</v>
      </c>
      <c r="E169" s="3" t="s">
        <v>150</v>
      </c>
    </row>
    <row r="170" spans="1:5">
      <c r="A170" s="3" t="s">
        <v>268</v>
      </c>
      <c r="B170" s="3" t="s">
        <v>423</v>
      </c>
      <c r="C170" s="3" t="s">
        <v>64</v>
      </c>
      <c r="D170" s="3" t="s">
        <v>331</v>
      </c>
      <c r="E170" s="3" t="s">
        <v>152</v>
      </c>
    </row>
    <row r="171" spans="1:5">
      <c r="A171" s="3" t="s">
        <v>453</v>
      </c>
      <c r="B171" s="3" t="s">
        <v>425</v>
      </c>
      <c r="C171" s="3" t="s">
        <v>67</v>
      </c>
      <c r="D171" s="3" t="s">
        <v>374</v>
      </c>
      <c r="E171" s="3" t="s">
        <v>317</v>
      </c>
    </row>
    <row r="172" spans="1:5">
      <c r="A172" s="3" t="s">
        <v>269</v>
      </c>
      <c r="B172" s="3" t="s">
        <v>426</v>
      </c>
      <c r="C172" s="3" t="s">
        <v>77</v>
      </c>
      <c r="D172" s="3" t="s">
        <v>331</v>
      </c>
      <c r="E172" s="3" t="s">
        <v>154</v>
      </c>
    </row>
    <row r="173" spans="1:5">
      <c r="A173" s="3" t="s">
        <v>270</v>
      </c>
      <c r="B173" s="3" t="s">
        <v>427</v>
      </c>
      <c r="C173" s="3" t="s">
        <v>70</v>
      </c>
      <c r="D173" s="3" t="s">
        <v>331</v>
      </c>
      <c r="E173" s="3" t="s">
        <v>156</v>
      </c>
    </row>
    <row r="174" spans="1:5">
      <c r="A174" s="3" t="s">
        <v>271</v>
      </c>
      <c r="B174" s="3" t="s">
        <v>428</v>
      </c>
      <c r="C174" s="3" t="s">
        <v>64</v>
      </c>
      <c r="D174" s="3" t="s">
        <v>339</v>
      </c>
      <c r="E174" s="3" t="s">
        <v>158</v>
      </c>
    </row>
    <row r="175" spans="1:5">
      <c r="A175" s="3" t="s">
        <v>272</v>
      </c>
      <c r="B175" s="3" t="s">
        <v>429</v>
      </c>
      <c r="C175" s="3" t="s">
        <v>67</v>
      </c>
      <c r="D175" s="3" t="s">
        <v>331</v>
      </c>
      <c r="E175" s="3" t="s">
        <v>217</v>
      </c>
    </row>
    <row r="176" spans="1:5">
      <c r="A176" s="3" t="s">
        <v>273</v>
      </c>
      <c r="B176" s="3" t="s">
        <v>431</v>
      </c>
      <c r="C176" s="3" t="s">
        <v>77</v>
      </c>
      <c r="D176" s="3" t="s">
        <v>331</v>
      </c>
      <c r="E176" s="3" t="s">
        <v>219</v>
      </c>
    </row>
    <row r="177" spans="1:5">
      <c r="A177" s="3" t="s">
        <v>274</v>
      </c>
      <c r="B177" s="3" t="s">
        <v>432</v>
      </c>
      <c r="C177" s="3" t="s">
        <v>70</v>
      </c>
      <c r="D177" s="3" t="s">
        <v>331</v>
      </c>
      <c r="E177" s="3" t="s">
        <v>160</v>
      </c>
    </row>
    <row r="178" spans="1:5">
      <c r="A178" s="3" t="s">
        <v>275</v>
      </c>
      <c r="B178" s="3" t="s">
        <v>433</v>
      </c>
      <c r="C178" s="3" t="s">
        <v>64</v>
      </c>
      <c r="D178" s="3" t="s">
        <v>331</v>
      </c>
      <c r="E178" s="3" t="s">
        <v>222</v>
      </c>
    </row>
    <row r="179" spans="1:5">
      <c r="A179" s="3" t="s">
        <v>276</v>
      </c>
      <c r="B179" s="3" t="s">
        <v>434</v>
      </c>
      <c r="C179" s="3" t="s">
        <v>67</v>
      </c>
      <c r="D179" s="3" t="s">
        <v>371</v>
      </c>
      <c r="E179" s="3" t="s">
        <v>162</v>
      </c>
    </row>
    <row r="180" spans="1:5">
      <c r="A180" s="3" t="s">
        <v>277</v>
      </c>
      <c r="B180" s="3" t="s">
        <v>435</v>
      </c>
      <c r="C180" s="3" t="s">
        <v>77</v>
      </c>
      <c r="D180" s="3" t="s">
        <v>331</v>
      </c>
      <c r="E180" s="3" t="s">
        <v>164</v>
      </c>
    </row>
    <row r="181" spans="1:5">
      <c r="A181" s="3" t="s">
        <v>454</v>
      </c>
      <c r="B181" s="3" t="s">
        <v>437</v>
      </c>
      <c r="C181" s="3" t="s">
        <v>70</v>
      </c>
      <c r="D181" s="3" t="s">
        <v>335</v>
      </c>
      <c r="E181" s="3" t="s">
        <v>166</v>
      </c>
    </row>
    <row r="182" spans="1:5">
      <c r="A182" s="3" t="s">
        <v>278</v>
      </c>
      <c r="B182" s="3" t="s">
        <v>438</v>
      </c>
      <c r="C182" s="3" t="s">
        <v>64</v>
      </c>
      <c r="D182" s="3" t="s">
        <v>331</v>
      </c>
      <c r="E182" s="3" t="s">
        <v>65</v>
      </c>
    </row>
    <row r="183" spans="1:5">
      <c r="A183" s="3" t="s">
        <v>279</v>
      </c>
      <c r="B183" s="3" t="s">
        <v>439</v>
      </c>
      <c r="C183" s="3" t="s">
        <v>67</v>
      </c>
      <c r="D183" s="3" t="s">
        <v>362</v>
      </c>
      <c r="E183" s="3" t="s">
        <v>68</v>
      </c>
    </row>
    <row r="184" spans="1:5">
      <c r="A184" s="3" t="s">
        <v>280</v>
      </c>
      <c r="B184" s="3" t="s">
        <v>440</v>
      </c>
      <c r="C184" s="3" t="s">
        <v>77</v>
      </c>
      <c r="D184" s="3" t="s">
        <v>331</v>
      </c>
      <c r="E184" s="3" t="s">
        <v>170</v>
      </c>
    </row>
    <row r="185" spans="1:5">
      <c r="A185" s="3" t="s">
        <v>281</v>
      </c>
      <c r="B185" s="3" t="s">
        <v>441</v>
      </c>
      <c r="C185" s="3" t="s">
        <v>70</v>
      </c>
      <c r="D185" s="3" t="s">
        <v>362</v>
      </c>
      <c r="E185" s="3" t="s">
        <v>71</v>
      </c>
    </row>
    <row r="186" spans="1:5">
      <c r="A186" s="3" t="s">
        <v>455</v>
      </c>
      <c r="B186" s="3" t="s">
        <v>330</v>
      </c>
      <c r="C186" s="3" t="s">
        <v>64</v>
      </c>
      <c r="D186" s="3" t="s">
        <v>374</v>
      </c>
      <c r="E186" s="3" t="s">
        <v>73</v>
      </c>
    </row>
    <row r="187" spans="1:5">
      <c r="A187" s="3" t="s">
        <v>282</v>
      </c>
      <c r="B187" s="3" t="s">
        <v>332</v>
      </c>
      <c r="C187" s="3" t="s">
        <v>67</v>
      </c>
      <c r="D187" s="3" t="s">
        <v>331</v>
      </c>
      <c r="E187" s="3" t="s">
        <v>75</v>
      </c>
    </row>
    <row r="188" spans="1:5">
      <c r="A188" s="3" t="s">
        <v>283</v>
      </c>
      <c r="B188" s="3" t="s">
        <v>334</v>
      </c>
      <c r="C188" s="3" t="s">
        <v>77</v>
      </c>
      <c r="D188" s="3" t="s">
        <v>331</v>
      </c>
      <c r="E188" s="3" t="s">
        <v>78</v>
      </c>
    </row>
    <row r="189" spans="1:5">
      <c r="A189" s="3" t="s">
        <v>284</v>
      </c>
      <c r="B189" s="3" t="s">
        <v>336</v>
      </c>
      <c r="C189" s="3" t="s">
        <v>70</v>
      </c>
      <c r="D189" s="3" t="s">
        <v>339</v>
      </c>
      <c r="E189" s="3" t="s">
        <v>80</v>
      </c>
    </row>
    <row r="190" spans="1:5">
      <c r="A190" s="3" t="s">
        <v>285</v>
      </c>
      <c r="B190" s="3" t="s">
        <v>337</v>
      </c>
      <c r="C190" s="3" t="s">
        <v>64</v>
      </c>
      <c r="D190" s="3" t="s">
        <v>331</v>
      </c>
      <c r="E190" s="3" t="s">
        <v>82</v>
      </c>
    </row>
    <row r="191" spans="1:5">
      <c r="A191" s="3" t="s">
        <v>286</v>
      </c>
      <c r="B191" s="3" t="s">
        <v>338</v>
      </c>
      <c r="C191" s="3" t="s">
        <v>67</v>
      </c>
      <c r="D191" s="3" t="s">
        <v>331</v>
      </c>
      <c r="E191" s="3" t="s">
        <v>84</v>
      </c>
    </row>
    <row r="192" spans="1:5">
      <c r="A192" s="3" t="s">
        <v>287</v>
      </c>
      <c r="B192" s="3" t="s">
        <v>340</v>
      </c>
      <c r="C192" s="3" t="s">
        <v>77</v>
      </c>
      <c r="D192" s="3" t="s">
        <v>331</v>
      </c>
      <c r="E192" s="3" t="s">
        <v>86</v>
      </c>
    </row>
    <row r="193" spans="1:5">
      <c r="A193" s="3" t="s">
        <v>456</v>
      </c>
      <c r="B193" s="3" t="s">
        <v>341</v>
      </c>
      <c r="C193" s="3" t="s">
        <v>70</v>
      </c>
      <c r="D193" s="3" t="s">
        <v>335</v>
      </c>
      <c r="E193" s="3" t="s">
        <v>88</v>
      </c>
    </row>
    <row r="194" spans="1:5">
      <c r="A194" s="3" t="s">
        <v>457</v>
      </c>
      <c r="B194" s="3" t="s">
        <v>342</v>
      </c>
      <c r="C194" s="3" t="s">
        <v>64</v>
      </c>
      <c r="D194" s="3" t="s">
        <v>335</v>
      </c>
      <c r="E194" s="3" t="s">
        <v>90</v>
      </c>
    </row>
    <row r="195" spans="1:5">
      <c r="A195" s="3" t="s">
        <v>288</v>
      </c>
      <c r="B195" s="3" t="s">
        <v>343</v>
      </c>
      <c r="C195" s="3" t="s">
        <v>67</v>
      </c>
      <c r="D195" s="3" t="s">
        <v>331</v>
      </c>
      <c r="E195" s="3" t="s">
        <v>92</v>
      </c>
    </row>
    <row r="196" spans="1:5">
      <c r="A196" s="3" t="s">
        <v>289</v>
      </c>
      <c r="B196" s="3" t="s">
        <v>344</v>
      </c>
      <c r="C196" s="3" t="s">
        <v>77</v>
      </c>
      <c r="D196" s="3" t="s">
        <v>331</v>
      </c>
      <c r="E196" s="3" t="s">
        <v>94</v>
      </c>
    </row>
    <row r="197" spans="1:5">
      <c r="A197" s="3" t="s">
        <v>458</v>
      </c>
      <c r="B197" s="3" t="s">
        <v>345</v>
      </c>
      <c r="C197" s="3" t="s">
        <v>70</v>
      </c>
      <c r="D197" s="3" t="s">
        <v>335</v>
      </c>
      <c r="E197" s="3" t="s">
        <v>96</v>
      </c>
    </row>
    <row r="198" spans="1:5">
      <c r="A198" s="3" t="s">
        <v>290</v>
      </c>
      <c r="B198" s="3" t="s">
        <v>346</v>
      </c>
      <c r="C198" s="3" t="s">
        <v>64</v>
      </c>
      <c r="D198" s="3" t="s">
        <v>331</v>
      </c>
      <c r="E198" s="3" t="s">
        <v>98</v>
      </c>
    </row>
    <row r="199" spans="1:5">
      <c r="A199" s="3" t="s">
        <v>459</v>
      </c>
      <c r="B199" s="3" t="s">
        <v>347</v>
      </c>
      <c r="C199" s="3" t="s">
        <v>67</v>
      </c>
      <c r="D199" s="3" t="s">
        <v>335</v>
      </c>
      <c r="E199" s="3" t="s">
        <v>100</v>
      </c>
    </row>
    <row r="200" spans="1:5">
      <c r="A200" s="3" t="s">
        <v>291</v>
      </c>
      <c r="B200" s="3" t="s">
        <v>348</v>
      </c>
      <c r="C200" s="3" t="s">
        <v>77</v>
      </c>
      <c r="D200" s="3" t="s">
        <v>339</v>
      </c>
      <c r="E200" s="3" t="s">
        <v>102</v>
      </c>
    </row>
    <row r="201" spans="1:5">
      <c r="A201" s="3" t="s">
        <v>292</v>
      </c>
      <c r="B201" s="3" t="s">
        <v>349</v>
      </c>
      <c r="C201" s="3" t="s">
        <v>70</v>
      </c>
      <c r="D201" s="3" t="s">
        <v>331</v>
      </c>
      <c r="E201" s="3" t="s">
        <v>185</v>
      </c>
    </row>
    <row r="202" spans="1:5">
      <c r="A202" s="3" t="s">
        <v>460</v>
      </c>
      <c r="B202" s="3" t="s">
        <v>350</v>
      </c>
      <c r="C202" s="3" t="s">
        <v>64</v>
      </c>
      <c r="D202" s="3" t="s">
        <v>374</v>
      </c>
      <c r="E202" s="3" t="s">
        <v>104</v>
      </c>
    </row>
    <row r="203" spans="1:5">
      <c r="A203" s="3" t="s">
        <v>293</v>
      </c>
      <c r="B203" s="3" t="s">
        <v>351</v>
      </c>
      <c r="C203" s="3" t="s">
        <v>67</v>
      </c>
      <c r="D203" s="3" t="s">
        <v>331</v>
      </c>
      <c r="E203" s="3" t="s">
        <v>106</v>
      </c>
    </row>
    <row r="204" spans="1:5">
      <c r="A204" s="3" t="s">
        <v>294</v>
      </c>
      <c r="B204" s="3" t="s">
        <v>352</v>
      </c>
      <c r="C204" s="3" t="s">
        <v>77</v>
      </c>
      <c r="D204" s="3" t="s">
        <v>362</v>
      </c>
      <c r="E204" s="3" t="s">
        <v>108</v>
      </c>
    </row>
    <row r="205" spans="1:5">
      <c r="A205" s="3" t="s">
        <v>295</v>
      </c>
      <c r="B205" s="3" t="s">
        <v>354</v>
      </c>
      <c r="C205" s="3" t="s">
        <v>70</v>
      </c>
      <c r="D205" s="3" t="s">
        <v>339</v>
      </c>
      <c r="E205" s="3" t="s">
        <v>189</v>
      </c>
    </row>
    <row r="206" spans="1:5">
      <c r="A206" s="3" t="s">
        <v>296</v>
      </c>
      <c r="B206" s="3" t="s">
        <v>355</v>
      </c>
      <c r="C206" s="3" t="s">
        <v>64</v>
      </c>
      <c r="D206" s="3" t="s">
        <v>331</v>
      </c>
      <c r="E206" s="3" t="s">
        <v>110</v>
      </c>
    </row>
    <row r="207" spans="1:5">
      <c r="A207" s="3" t="s">
        <v>297</v>
      </c>
      <c r="B207" s="3" t="s">
        <v>356</v>
      </c>
      <c r="C207" s="3" t="s">
        <v>67</v>
      </c>
      <c r="D207" s="3" t="s">
        <v>331</v>
      </c>
      <c r="E207" s="3" t="s">
        <v>112</v>
      </c>
    </row>
    <row r="208" spans="1:5">
      <c r="A208" s="3" t="s">
        <v>298</v>
      </c>
      <c r="B208" s="3" t="s">
        <v>357</v>
      </c>
      <c r="C208" s="3" t="s">
        <v>77</v>
      </c>
      <c r="D208" s="3" t="s">
        <v>362</v>
      </c>
      <c r="E208" s="3" t="s">
        <v>114</v>
      </c>
    </row>
    <row r="209" spans="1:5">
      <c r="A209" s="3" t="s">
        <v>299</v>
      </c>
      <c r="B209" s="3" t="s">
        <v>33</v>
      </c>
      <c r="C209" s="3" t="s">
        <v>70</v>
      </c>
      <c r="D209" s="3" t="s">
        <v>331</v>
      </c>
      <c r="E209" s="3" t="s">
        <v>116</v>
      </c>
    </row>
    <row r="210" spans="1:5">
      <c r="A210" s="3" t="s">
        <v>300</v>
      </c>
      <c r="B210" s="3" t="s">
        <v>359</v>
      </c>
      <c r="C210" s="3" t="s">
        <v>64</v>
      </c>
      <c r="D210" s="3" t="s">
        <v>331</v>
      </c>
      <c r="E210" s="3" t="s">
        <v>118</v>
      </c>
    </row>
    <row r="211" spans="1:5">
      <c r="A211" s="3" t="s">
        <v>301</v>
      </c>
      <c r="B211" s="3" t="s">
        <v>360</v>
      </c>
      <c r="C211" s="3" t="s">
        <v>67</v>
      </c>
      <c r="D211" s="3" t="s">
        <v>331</v>
      </c>
      <c r="E211" s="3" t="s">
        <v>120</v>
      </c>
    </row>
    <row r="212" spans="1:5">
      <c r="A212" s="3" t="s">
        <v>302</v>
      </c>
      <c r="B212" s="3" t="s">
        <v>361</v>
      </c>
      <c r="C212" s="3" t="s">
        <v>77</v>
      </c>
      <c r="D212" s="3" t="s">
        <v>371</v>
      </c>
      <c r="E212" s="3" t="s">
        <v>122</v>
      </c>
    </row>
    <row r="213" spans="1:5">
      <c r="A213" s="3" t="s">
        <v>303</v>
      </c>
      <c r="B213" s="3" t="s">
        <v>363</v>
      </c>
      <c r="C213" s="3" t="s">
        <v>70</v>
      </c>
      <c r="D213" s="3" t="s">
        <v>331</v>
      </c>
      <c r="E213" s="3" t="s">
        <v>197</v>
      </c>
    </row>
    <row r="214" spans="1:5">
      <c r="A214" s="3" t="s">
        <v>304</v>
      </c>
      <c r="B214" s="3" t="s">
        <v>364</v>
      </c>
      <c r="C214" s="3" t="s">
        <v>64</v>
      </c>
      <c r="D214" s="3" t="s">
        <v>371</v>
      </c>
      <c r="E214" s="3" t="s">
        <v>124</v>
      </c>
    </row>
    <row r="215" spans="1:5">
      <c r="A215" s="3" t="s">
        <v>305</v>
      </c>
      <c r="B215" s="3" t="s">
        <v>365</v>
      </c>
      <c r="C215" s="3" t="s">
        <v>67</v>
      </c>
      <c r="D215" s="3" t="s">
        <v>331</v>
      </c>
      <c r="E215" s="3" t="s">
        <v>126</v>
      </c>
    </row>
    <row r="216" spans="1:5">
      <c r="A216" s="3" t="s">
        <v>461</v>
      </c>
      <c r="B216" s="3" t="s">
        <v>366</v>
      </c>
      <c r="C216" s="3" t="s">
        <v>77</v>
      </c>
      <c r="D216" s="3" t="s">
        <v>335</v>
      </c>
      <c r="E216" s="3" t="s">
        <v>201</v>
      </c>
    </row>
    <row r="217" spans="1:5">
      <c r="A217" s="3" t="s">
        <v>462</v>
      </c>
      <c r="B217" s="3" t="s">
        <v>368</v>
      </c>
      <c r="C217" s="3" t="s">
        <v>70</v>
      </c>
      <c r="D217" s="3" t="s">
        <v>335</v>
      </c>
      <c r="E217" s="3" t="s">
        <v>128</v>
      </c>
    </row>
    <row r="218" spans="1:5">
      <c r="A218" s="3" t="s">
        <v>306</v>
      </c>
      <c r="B218" s="3" t="s">
        <v>369</v>
      </c>
      <c r="C218" s="3" t="s">
        <v>64</v>
      </c>
      <c r="D218" s="3" t="s">
        <v>362</v>
      </c>
      <c r="E218" s="3" t="s">
        <v>204</v>
      </c>
    </row>
    <row r="219" spans="1:5">
      <c r="A219" s="3" t="s">
        <v>463</v>
      </c>
      <c r="B219" s="3" t="s">
        <v>370</v>
      </c>
      <c r="C219" s="3" t="s">
        <v>67</v>
      </c>
      <c r="D219" s="3" t="s">
        <v>335</v>
      </c>
      <c r="E219" s="3" t="s">
        <v>130</v>
      </c>
    </row>
    <row r="220" spans="1:5">
      <c r="A220" s="3" t="s">
        <v>307</v>
      </c>
      <c r="B220" s="3" t="s">
        <v>373</v>
      </c>
      <c r="C220" s="3" t="s">
        <v>77</v>
      </c>
      <c r="D220" s="3" t="s">
        <v>331</v>
      </c>
      <c r="E220" s="3" t="s">
        <v>132</v>
      </c>
    </row>
    <row r="221" spans="1:5">
      <c r="A221" s="3" t="s">
        <v>464</v>
      </c>
      <c r="B221" s="3" t="s">
        <v>375</v>
      </c>
      <c r="C221" s="3" t="s">
        <v>70</v>
      </c>
      <c r="D221" s="3" t="s">
        <v>335</v>
      </c>
      <c r="E221" s="3" t="s">
        <v>134</v>
      </c>
    </row>
    <row r="222" spans="1:5">
      <c r="A222" s="3" t="s">
        <v>308</v>
      </c>
      <c r="B222" s="3" t="s">
        <v>377</v>
      </c>
      <c r="C222" s="3" t="s">
        <v>64</v>
      </c>
      <c r="D222" s="3" t="s">
        <v>331</v>
      </c>
      <c r="E222" s="3" t="s">
        <v>136</v>
      </c>
    </row>
    <row r="223" spans="1:5">
      <c r="A223" s="3" t="s">
        <v>309</v>
      </c>
      <c r="B223" s="3" t="s">
        <v>378</v>
      </c>
      <c r="C223" s="3" t="s">
        <v>67</v>
      </c>
      <c r="D223" s="3" t="s">
        <v>331</v>
      </c>
      <c r="E223" s="3" t="s">
        <v>138</v>
      </c>
    </row>
    <row r="224" spans="1:5">
      <c r="A224" s="3" t="s">
        <v>310</v>
      </c>
      <c r="B224" s="3" t="s">
        <v>379</v>
      </c>
      <c r="C224" s="3" t="s">
        <v>77</v>
      </c>
      <c r="D224" s="3" t="s">
        <v>362</v>
      </c>
      <c r="E224" s="3" t="s">
        <v>140</v>
      </c>
    </row>
    <row r="225" spans="1:5">
      <c r="A225" s="3" t="s">
        <v>311</v>
      </c>
      <c r="B225" s="3" t="s">
        <v>380</v>
      </c>
      <c r="C225" s="3" t="s">
        <v>70</v>
      </c>
      <c r="D225" s="3" t="s">
        <v>362</v>
      </c>
      <c r="E225" s="3" t="s">
        <v>142</v>
      </c>
    </row>
    <row r="226" spans="1:5">
      <c r="A226" s="3" t="s">
        <v>312</v>
      </c>
      <c r="B226" s="3" t="s">
        <v>381</v>
      </c>
      <c r="C226" s="3" t="s">
        <v>64</v>
      </c>
      <c r="D226" s="3" t="s">
        <v>371</v>
      </c>
      <c r="E226" s="3" t="s">
        <v>144</v>
      </c>
    </row>
    <row r="227" spans="1:5">
      <c r="A227" s="3" t="s">
        <v>313</v>
      </c>
      <c r="B227" s="3" t="s">
        <v>382</v>
      </c>
      <c r="C227" s="3" t="s">
        <v>67</v>
      </c>
      <c r="D227" s="3" t="s">
        <v>362</v>
      </c>
      <c r="E227" s="3" t="s">
        <v>146</v>
      </c>
    </row>
    <row r="228" spans="1:5">
      <c r="A228" s="3" t="s">
        <v>465</v>
      </c>
      <c r="B228" s="3" t="s">
        <v>383</v>
      </c>
      <c r="C228" s="3" t="s">
        <v>77</v>
      </c>
      <c r="D228" s="3" t="s">
        <v>335</v>
      </c>
      <c r="E228" s="3" t="s">
        <v>148</v>
      </c>
    </row>
    <row r="229" spans="1:5">
      <c r="A229" s="3" t="s">
        <v>314</v>
      </c>
      <c r="B229" s="3" t="s">
        <v>384</v>
      </c>
      <c r="C229" s="3" t="s">
        <v>70</v>
      </c>
      <c r="D229" s="3" t="s">
        <v>331</v>
      </c>
      <c r="E229" s="3" t="s">
        <v>150</v>
      </c>
    </row>
    <row r="230" spans="1:5">
      <c r="A230" s="3" t="s">
        <v>315</v>
      </c>
      <c r="B230" s="3" t="s">
        <v>385</v>
      </c>
      <c r="C230" s="3" t="s">
        <v>64</v>
      </c>
      <c r="D230" s="3" t="s">
        <v>362</v>
      </c>
      <c r="E230" s="3" t="s">
        <v>152</v>
      </c>
    </row>
    <row r="231" spans="1:5">
      <c r="A231" s="3" t="s">
        <v>316</v>
      </c>
      <c r="B231" s="3" t="s">
        <v>386</v>
      </c>
      <c r="C231" s="3" t="s">
        <v>67</v>
      </c>
      <c r="D231" s="3" t="s">
        <v>331</v>
      </c>
      <c r="E231" s="3" t="s">
        <v>317</v>
      </c>
    </row>
    <row r="232" spans="1:5">
      <c r="A232" s="3" t="s">
        <v>318</v>
      </c>
      <c r="B232" s="3" t="s">
        <v>387</v>
      </c>
      <c r="C232" s="3" t="s">
        <v>77</v>
      </c>
      <c r="D232" s="3" t="s">
        <v>331</v>
      </c>
      <c r="E232" s="3" t="s">
        <v>154</v>
      </c>
    </row>
    <row r="233" spans="1:5">
      <c r="A233" s="3" t="s">
        <v>319</v>
      </c>
      <c r="B233" s="3" t="s">
        <v>388</v>
      </c>
      <c r="C233" s="3" t="s">
        <v>70</v>
      </c>
      <c r="D233" s="3" t="s">
        <v>331</v>
      </c>
      <c r="E233" s="3" t="s">
        <v>156</v>
      </c>
    </row>
    <row r="234" spans="1:5">
      <c r="A234" s="3" t="s">
        <v>320</v>
      </c>
      <c r="B234" s="3" t="s">
        <v>389</v>
      </c>
      <c r="C234" s="3" t="s">
        <v>64</v>
      </c>
      <c r="D234" s="3" t="s">
        <v>331</v>
      </c>
      <c r="E234" s="3" t="s">
        <v>158</v>
      </c>
    </row>
    <row r="235" spans="1:5">
      <c r="A235" s="3" t="s">
        <v>321</v>
      </c>
      <c r="B235" s="3" t="s">
        <v>391</v>
      </c>
      <c r="C235" s="3" t="s">
        <v>67</v>
      </c>
      <c r="D235" s="3" t="s">
        <v>331</v>
      </c>
      <c r="E235" s="3" t="s">
        <v>217</v>
      </c>
    </row>
    <row r="236" spans="1:5">
      <c r="A236" s="3" t="s">
        <v>466</v>
      </c>
      <c r="B236" s="3" t="s">
        <v>392</v>
      </c>
      <c r="C236" s="3" t="s">
        <v>77</v>
      </c>
      <c r="D236" s="3" t="s">
        <v>374</v>
      </c>
      <c r="E236" s="3" t="s">
        <v>219</v>
      </c>
    </row>
    <row r="237" spans="1:5">
      <c r="A237" s="3" t="s">
        <v>467</v>
      </c>
      <c r="B237" s="3" t="s">
        <v>393</v>
      </c>
      <c r="C237" s="3" t="s">
        <v>70</v>
      </c>
      <c r="D237" s="3" t="s">
        <v>374</v>
      </c>
      <c r="E237" s="3" t="s">
        <v>160</v>
      </c>
    </row>
    <row r="238" spans="1:5">
      <c r="A238" s="3" t="s">
        <v>322</v>
      </c>
      <c r="B238" s="3" t="s">
        <v>394</v>
      </c>
      <c r="C238" s="3" t="s">
        <v>64</v>
      </c>
      <c r="D238" s="3" t="s">
        <v>331</v>
      </c>
      <c r="E238" s="3" t="s">
        <v>222</v>
      </c>
    </row>
    <row r="239" spans="1:5">
      <c r="A239" s="3" t="s">
        <v>323</v>
      </c>
      <c r="B239" s="3" t="s">
        <v>396</v>
      </c>
      <c r="C239" s="3" t="s">
        <v>67</v>
      </c>
      <c r="D239" s="3" t="s">
        <v>331</v>
      </c>
      <c r="E239" s="3" t="s">
        <v>162</v>
      </c>
    </row>
    <row r="240" spans="1:5">
      <c r="A240" s="3" t="s">
        <v>468</v>
      </c>
      <c r="B240" s="3" t="s">
        <v>398</v>
      </c>
      <c r="C240" s="3" t="s">
        <v>77</v>
      </c>
      <c r="D240" s="3" t="s">
        <v>374</v>
      </c>
      <c r="E240" s="3" t="s">
        <v>164</v>
      </c>
    </row>
    <row r="241" spans="1:5">
      <c r="A241" s="3" t="s">
        <v>324</v>
      </c>
      <c r="B241" s="3" t="s">
        <v>399</v>
      </c>
      <c r="C241" s="3" t="s">
        <v>70</v>
      </c>
      <c r="D241" s="3" t="s">
        <v>339</v>
      </c>
      <c r="E241" s="3" t="s">
        <v>166</v>
      </c>
    </row>
  </sheetData>
  <autoFilter ref="A1:E24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6" width="18.7109375" style="3" customWidth="1"/>
  </cols>
  <sheetData>
    <row r="1" spans="1:6" ht="32" customHeight="1">
      <c r="A1" s="1" t="s">
        <v>12</v>
      </c>
      <c r="B1" s="1" t="s">
        <v>469</v>
      </c>
      <c r="C1" s="1" t="s">
        <v>470</v>
      </c>
      <c r="D1" s="1" t="s">
        <v>471</v>
      </c>
      <c r="E1" s="1" t="s">
        <v>472</v>
      </c>
      <c r="F1" s="1" t="s">
        <v>473</v>
      </c>
    </row>
    <row r="2" spans="1:6">
      <c r="A2" s="3" t="s">
        <v>31</v>
      </c>
      <c r="B2" s="3" t="s">
        <v>474</v>
      </c>
      <c r="C2" s="3" t="s">
        <v>475</v>
      </c>
      <c r="D2" s="4">
        <v>9.24</v>
      </c>
      <c r="E2" s="4">
        <v>13</v>
      </c>
      <c r="F2" s="4">
        <v>0.44</v>
      </c>
    </row>
    <row r="3" spans="1:6">
      <c r="A3" s="3" t="s">
        <v>34</v>
      </c>
      <c r="B3" s="3" t="s">
        <v>476</v>
      </c>
      <c r="C3" s="3" t="s">
        <v>475</v>
      </c>
      <c r="D3" s="4">
        <v>21.77</v>
      </c>
      <c r="E3" s="4">
        <v>40</v>
      </c>
      <c r="F3" s="4">
        <v>1.42</v>
      </c>
    </row>
    <row r="4" spans="1:6">
      <c r="A4" s="3" t="s">
        <v>36</v>
      </c>
      <c r="B4" s="3" t="s">
        <v>477</v>
      </c>
      <c r="C4" s="3" t="s">
        <v>475</v>
      </c>
      <c r="D4" s="4">
        <v>14.86</v>
      </c>
      <c r="E4" s="4">
        <v>28</v>
      </c>
      <c r="F4" s="4">
        <v>1.31</v>
      </c>
    </row>
    <row r="5" spans="1:6">
      <c r="A5" s="3" t="s">
        <v>478</v>
      </c>
      <c r="B5" s="3" t="s">
        <v>479</v>
      </c>
      <c r="C5" s="3" t="s">
        <v>475</v>
      </c>
      <c r="D5" s="4">
        <v>13.28</v>
      </c>
      <c r="E5" s="4">
        <v>25</v>
      </c>
      <c r="F5" s="4">
        <v>0.87</v>
      </c>
    </row>
    <row r="6" spans="1:6">
      <c r="A6" s="3" t="s">
        <v>480</v>
      </c>
      <c r="B6" s="3" t="s">
        <v>481</v>
      </c>
      <c r="C6" s="3" t="s">
        <v>475</v>
      </c>
      <c r="D6" s="4">
        <v>5.26</v>
      </c>
      <c r="E6" s="4">
        <v>8</v>
      </c>
      <c r="F6" s="4">
        <v>0.44</v>
      </c>
    </row>
    <row r="7" spans="1:6">
      <c r="A7" s="3" t="s">
        <v>482</v>
      </c>
      <c r="B7" s="3" t="s">
        <v>483</v>
      </c>
      <c r="C7" s="3" t="s">
        <v>475</v>
      </c>
      <c r="D7" s="4">
        <v>22.02</v>
      </c>
      <c r="E7" s="4">
        <v>36</v>
      </c>
      <c r="F7" s="4">
        <v>0.93</v>
      </c>
    </row>
    <row r="8" spans="1:6">
      <c r="A8" s="3" t="s">
        <v>484</v>
      </c>
      <c r="B8" s="3" t="s">
        <v>485</v>
      </c>
      <c r="C8" s="3" t="s">
        <v>475</v>
      </c>
      <c r="D8" s="4">
        <v>3.58</v>
      </c>
      <c r="E8" s="4">
        <v>6</v>
      </c>
      <c r="F8" s="4">
        <v>0.43</v>
      </c>
    </row>
    <row r="9" spans="1:6">
      <c r="A9" s="3" t="s">
        <v>486</v>
      </c>
      <c r="B9" s="3" t="s">
        <v>487</v>
      </c>
      <c r="C9" s="3" t="s">
        <v>475</v>
      </c>
      <c r="D9" s="4">
        <v>5.22</v>
      </c>
      <c r="E9" s="4">
        <v>9</v>
      </c>
      <c r="F9" s="4">
        <v>0.62</v>
      </c>
    </row>
    <row r="10" spans="1:6">
      <c r="A10" s="3" t="s">
        <v>488</v>
      </c>
      <c r="B10" s="3" t="s">
        <v>489</v>
      </c>
      <c r="C10" s="3" t="s">
        <v>475</v>
      </c>
      <c r="D10" s="4">
        <v>13.63</v>
      </c>
      <c r="E10" s="4">
        <v>26</v>
      </c>
      <c r="F10" s="4">
        <v>0.6899999999999999</v>
      </c>
    </row>
    <row r="11" spans="1:6">
      <c r="A11" s="3" t="s">
        <v>490</v>
      </c>
      <c r="B11" s="3" t="s">
        <v>491</v>
      </c>
      <c r="C11" s="3" t="s">
        <v>475</v>
      </c>
      <c r="D11" s="4">
        <v>9.81</v>
      </c>
      <c r="E11" s="4">
        <v>15</v>
      </c>
      <c r="F11" s="4">
        <v>0.72</v>
      </c>
    </row>
    <row r="12" spans="1:6">
      <c r="A12" s="3" t="s">
        <v>492</v>
      </c>
      <c r="B12" s="3" t="s">
        <v>493</v>
      </c>
      <c r="C12" s="3" t="s">
        <v>475</v>
      </c>
      <c r="D12" s="4">
        <v>9.69</v>
      </c>
      <c r="E12" s="4">
        <v>15</v>
      </c>
      <c r="F12" s="4">
        <v>0.38</v>
      </c>
    </row>
    <row r="13" spans="1:6">
      <c r="A13" s="3" t="s">
        <v>494</v>
      </c>
      <c r="B13" s="3" t="s">
        <v>495</v>
      </c>
      <c r="C13" s="3" t="s">
        <v>475</v>
      </c>
      <c r="D13" s="4">
        <v>7.05</v>
      </c>
      <c r="E13" s="4">
        <v>13</v>
      </c>
      <c r="F13" s="4">
        <v>1.14</v>
      </c>
    </row>
    <row r="14" spans="1:6">
      <c r="A14" s="3" t="s">
        <v>496</v>
      </c>
      <c r="B14" s="3" t="s">
        <v>497</v>
      </c>
      <c r="C14" s="3" t="s">
        <v>475</v>
      </c>
      <c r="D14" s="4">
        <v>12.03</v>
      </c>
      <c r="E14" s="4">
        <v>23</v>
      </c>
      <c r="F14" s="4">
        <v>0.25</v>
      </c>
    </row>
    <row r="15" spans="1:6">
      <c r="A15" s="3" t="s">
        <v>498</v>
      </c>
      <c r="B15" s="3" t="s">
        <v>499</v>
      </c>
      <c r="C15" s="3" t="s">
        <v>475</v>
      </c>
      <c r="D15" s="4">
        <v>9.779999999999999</v>
      </c>
      <c r="E15" s="4">
        <v>14</v>
      </c>
      <c r="F15" s="4">
        <v>1.41</v>
      </c>
    </row>
    <row r="16" spans="1:6">
      <c r="A16" s="3" t="s">
        <v>500</v>
      </c>
      <c r="B16" s="3" t="s">
        <v>501</v>
      </c>
      <c r="C16" s="3" t="s">
        <v>475</v>
      </c>
      <c r="D16" s="4">
        <v>17.36</v>
      </c>
      <c r="E16" s="4">
        <v>34</v>
      </c>
      <c r="F16" s="4">
        <v>0.31</v>
      </c>
    </row>
    <row r="17" spans="1:6">
      <c r="A17" s="3" t="s">
        <v>502</v>
      </c>
      <c r="B17" s="3" t="s">
        <v>503</v>
      </c>
      <c r="C17" s="3" t="s">
        <v>475</v>
      </c>
      <c r="D17" s="4">
        <v>3.61</v>
      </c>
      <c r="E17" s="4">
        <v>6</v>
      </c>
      <c r="F17" s="4">
        <v>1.2</v>
      </c>
    </row>
    <row r="18" spans="1:6">
      <c r="A18" s="3" t="s">
        <v>504</v>
      </c>
      <c r="B18" s="3" t="s">
        <v>505</v>
      </c>
      <c r="C18" s="3" t="s">
        <v>475</v>
      </c>
      <c r="D18" s="4">
        <v>10.73</v>
      </c>
      <c r="E18" s="4">
        <v>15</v>
      </c>
      <c r="F18" s="4">
        <v>1.2</v>
      </c>
    </row>
    <row r="19" spans="1:6">
      <c r="A19" s="3" t="s">
        <v>506</v>
      </c>
      <c r="B19" s="3" t="s">
        <v>507</v>
      </c>
      <c r="C19" s="3" t="s">
        <v>475</v>
      </c>
      <c r="D19" s="4">
        <v>10.49</v>
      </c>
      <c r="E19" s="4">
        <v>15</v>
      </c>
      <c r="F19" s="4">
        <v>0.83</v>
      </c>
    </row>
    <row r="20" spans="1:6">
      <c r="A20" s="3" t="s">
        <v>508</v>
      </c>
      <c r="B20" s="3" t="s">
        <v>509</v>
      </c>
      <c r="C20" s="3" t="s">
        <v>475</v>
      </c>
      <c r="D20" s="4">
        <v>7.51</v>
      </c>
      <c r="E20" s="4">
        <v>13</v>
      </c>
      <c r="F20" s="4">
        <v>1.4</v>
      </c>
    </row>
    <row r="21" spans="1:6">
      <c r="A21" s="3" t="s">
        <v>510</v>
      </c>
      <c r="B21" s="3" t="s">
        <v>511</v>
      </c>
      <c r="C21" s="3" t="s">
        <v>475</v>
      </c>
      <c r="D21" s="4">
        <v>4.47</v>
      </c>
      <c r="E21" s="4">
        <v>7</v>
      </c>
      <c r="F21" s="4">
        <v>1.32</v>
      </c>
    </row>
    <row r="22" spans="1:6">
      <c r="A22" s="3" t="s">
        <v>512</v>
      </c>
      <c r="B22" s="3" t="s">
        <v>513</v>
      </c>
      <c r="C22" s="3" t="s">
        <v>475</v>
      </c>
      <c r="D22" s="4">
        <v>21.72</v>
      </c>
      <c r="E22" s="4">
        <v>32</v>
      </c>
      <c r="F22" s="4">
        <v>1.1</v>
      </c>
    </row>
    <row r="23" spans="1:6">
      <c r="A23" s="3" t="s">
        <v>514</v>
      </c>
      <c r="B23" s="3" t="s">
        <v>515</v>
      </c>
      <c r="C23" s="3" t="s">
        <v>475</v>
      </c>
      <c r="D23" s="4">
        <v>5.79</v>
      </c>
      <c r="E23" s="4">
        <v>9</v>
      </c>
      <c r="F23" s="4">
        <v>1.3</v>
      </c>
    </row>
    <row r="24" spans="1:6">
      <c r="A24" s="3" t="s">
        <v>516</v>
      </c>
      <c r="B24" s="3" t="s">
        <v>517</v>
      </c>
      <c r="C24" s="3" t="s">
        <v>475</v>
      </c>
      <c r="D24" s="4">
        <v>20.13</v>
      </c>
      <c r="E24" s="4">
        <v>33</v>
      </c>
      <c r="F24" s="4">
        <v>1.36</v>
      </c>
    </row>
    <row r="25" spans="1:6">
      <c r="A25" s="3" t="s">
        <v>518</v>
      </c>
      <c r="B25" s="3" t="s">
        <v>519</v>
      </c>
      <c r="C25" s="3" t="s">
        <v>475</v>
      </c>
      <c r="D25" s="4">
        <v>16.31</v>
      </c>
      <c r="E25" s="4">
        <v>23</v>
      </c>
      <c r="F25" s="4">
        <v>0.33</v>
      </c>
    </row>
    <row r="26" spans="1:6">
      <c r="A26" s="3" t="s">
        <v>38</v>
      </c>
      <c r="B26" s="3" t="s">
        <v>520</v>
      </c>
      <c r="C26" s="3" t="s">
        <v>521</v>
      </c>
      <c r="D26" s="4">
        <v>260.15</v>
      </c>
      <c r="E26" s="4">
        <v>430</v>
      </c>
      <c r="F26" s="4">
        <v>11.31</v>
      </c>
    </row>
    <row r="27" spans="1:6">
      <c r="A27" s="3" t="s">
        <v>40</v>
      </c>
      <c r="B27" s="3" t="s">
        <v>522</v>
      </c>
      <c r="C27" s="3" t="s">
        <v>521</v>
      </c>
      <c r="D27" s="4">
        <v>331.74</v>
      </c>
      <c r="E27" s="4">
        <v>549</v>
      </c>
      <c r="F27" s="4">
        <v>6.98</v>
      </c>
    </row>
    <row r="28" spans="1:6">
      <c r="A28" s="3" t="s">
        <v>523</v>
      </c>
      <c r="B28" s="3" t="s">
        <v>524</v>
      </c>
      <c r="C28" s="3" t="s">
        <v>521</v>
      </c>
      <c r="D28" s="4">
        <v>193.27</v>
      </c>
      <c r="E28" s="4">
        <v>312</v>
      </c>
      <c r="F28" s="4">
        <v>6.73</v>
      </c>
    </row>
    <row r="29" spans="1:6">
      <c r="A29" s="3" t="s">
        <v>525</v>
      </c>
      <c r="B29" s="3" t="s">
        <v>526</v>
      </c>
      <c r="C29" s="3" t="s">
        <v>521</v>
      </c>
      <c r="D29" s="4">
        <v>568.3200000000001</v>
      </c>
      <c r="E29" s="4">
        <v>869</v>
      </c>
      <c r="F29" s="4">
        <v>3.17</v>
      </c>
    </row>
    <row r="30" spans="1:6">
      <c r="A30" s="3" t="s">
        <v>527</v>
      </c>
      <c r="B30" s="3" t="s">
        <v>528</v>
      </c>
      <c r="C30" s="3" t="s">
        <v>521</v>
      </c>
      <c r="D30" s="4">
        <v>634.38</v>
      </c>
      <c r="E30" s="4">
        <v>942</v>
      </c>
      <c r="F30" s="4">
        <v>3.42</v>
      </c>
    </row>
    <row r="31" spans="1:6">
      <c r="A31" s="3" t="s">
        <v>529</v>
      </c>
      <c r="B31" s="3" t="s">
        <v>530</v>
      </c>
      <c r="C31" s="3" t="s">
        <v>521</v>
      </c>
      <c r="D31" s="4">
        <v>476.02</v>
      </c>
      <c r="E31" s="4">
        <v>828</v>
      </c>
      <c r="F31" s="4">
        <v>4.86</v>
      </c>
    </row>
    <row r="32" spans="1:6">
      <c r="A32" s="3" t="s">
        <v>531</v>
      </c>
      <c r="B32" s="3" t="s">
        <v>532</v>
      </c>
      <c r="C32" s="3" t="s">
        <v>521</v>
      </c>
      <c r="D32" s="4">
        <v>212.14</v>
      </c>
      <c r="E32" s="4">
        <v>292</v>
      </c>
      <c r="F32" s="4">
        <v>9.529999999999999</v>
      </c>
    </row>
    <row r="33" spans="1:6">
      <c r="A33" s="3" t="s">
        <v>533</v>
      </c>
      <c r="B33" s="3" t="s">
        <v>534</v>
      </c>
      <c r="C33" s="3" t="s">
        <v>521</v>
      </c>
      <c r="D33" s="4">
        <v>652.48</v>
      </c>
      <c r="E33" s="4">
        <v>1052</v>
      </c>
      <c r="F33" s="4">
        <v>4.93</v>
      </c>
    </row>
    <row r="34" spans="1:6">
      <c r="A34" s="3" t="s">
        <v>535</v>
      </c>
      <c r="B34" s="3" t="s">
        <v>536</v>
      </c>
      <c r="C34" s="3" t="s">
        <v>521</v>
      </c>
      <c r="D34" s="4">
        <v>703.96</v>
      </c>
      <c r="E34" s="4">
        <v>961</v>
      </c>
      <c r="F34" s="4">
        <v>3.41</v>
      </c>
    </row>
    <row r="35" spans="1:6">
      <c r="A35" s="3" t="s">
        <v>537</v>
      </c>
      <c r="B35" s="3" t="s">
        <v>538</v>
      </c>
      <c r="C35" s="3" t="s">
        <v>521</v>
      </c>
      <c r="D35" s="4">
        <v>535.98</v>
      </c>
      <c r="E35" s="4">
        <v>839</v>
      </c>
      <c r="F35" s="4">
        <v>10.63</v>
      </c>
    </row>
    <row r="36" spans="1:6">
      <c r="A36" s="3" t="s">
        <v>539</v>
      </c>
      <c r="B36" s="3" t="s">
        <v>540</v>
      </c>
      <c r="C36" s="3" t="s">
        <v>521</v>
      </c>
      <c r="D36" s="4">
        <v>491.92</v>
      </c>
      <c r="E36" s="4">
        <v>818</v>
      </c>
      <c r="F36" s="4">
        <v>9.68</v>
      </c>
    </row>
    <row r="37" spans="1:6">
      <c r="A37" s="3" t="s">
        <v>541</v>
      </c>
      <c r="B37" s="3" t="s">
        <v>542</v>
      </c>
      <c r="C37" s="3" t="s">
        <v>521</v>
      </c>
      <c r="D37" s="4">
        <v>521.47</v>
      </c>
      <c r="E37" s="4">
        <v>817</v>
      </c>
      <c r="F37" s="4">
        <v>6.59</v>
      </c>
    </row>
    <row r="38" spans="1:6">
      <c r="A38" s="3" t="s">
        <v>42</v>
      </c>
      <c r="B38" s="3" t="s">
        <v>543</v>
      </c>
      <c r="C38" s="3" t="s">
        <v>544</v>
      </c>
      <c r="D38" s="4">
        <v>867.97</v>
      </c>
      <c r="E38" s="4">
        <v>1424</v>
      </c>
      <c r="F38" s="4">
        <v>39.92</v>
      </c>
    </row>
    <row r="39" spans="1:6">
      <c r="A39" s="3" t="s">
        <v>44</v>
      </c>
      <c r="B39" s="3" t="s">
        <v>545</v>
      </c>
      <c r="C39" s="3" t="s">
        <v>544</v>
      </c>
      <c r="D39" s="4">
        <v>1030.48</v>
      </c>
      <c r="E39" s="4">
        <v>1470</v>
      </c>
      <c r="F39" s="4">
        <v>21.04</v>
      </c>
    </row>
    <row r="40" spans="1:6">
      <c r="A40" s="3" t="s">
        <v>46</v>
      </c>
      <c r="B40" s="3" t="s">
        <v>546</v>
      </c>
      <c r="C40" s="3" t="s">
        <v>544</v>
      </c>
      <c r="D40" s="4">
        <v>921.9400000000001</v>
      </c>
      <c r="E40" s="4">
        <v>1250</v>
      </c>
      <c r="F40" s="3"/>
    </row>
    <row r="41" spans="1:6">
      <c r="A41" s="3" t="s">
        <v>547</v>
      </c>
      <c r="B41" s="3" t="s">
        <v>548</v>
      </c>
      <c r="C41" s="3" t="s">
        <v>544</v>
      </c>
      <c r="D41" s="4">
        <v>267.69</v>
      </c>
      <c r="E41" s="4">
        <v>453</v>
      </c>
      <c r="F41" s="4">
        <v>27.23</v>
      </c>
    </row>
    <row r="42" spans="1:6">
      <c r="A42" s="3" t="s">
        <v>549</v>
      </c>
      <c r="B42" s="3" t="s">
        <v>550</v>
      </c>
      <c r="C42" s="3" t="s">
        <v>544</v>
      </c>
      <c r="D42" s="4">
        <v>710.8</v>
      </c>
      <c r="E42" s="4">
        <v>1273</v>
      </c>
      <c r="F42" s="4">
        <v>37.53</v>
      </c>
    </row>
    <row r="43" spans="1:6">
      <c r="A43" s="3" t="s">
        <v>551</v>
      </c>
      <c r="B43" s="3" t="s">
        <v>552</v>
      </c>
      <c r="C43" s="3" t="s">
        <v>544</v>
      </c>
      <c r="D43" s="4">
        <v>986.05</v>
      </c>
      <c r="E43" s="4">
        <v>1554</v>
      </c>
      <c r="F43" s="4">
        <v>25.89</v>
      </c>
    </row>
    <row r="44" spans="1:6">
      <c r="A44" s="3" t="s">
        <v>553</v>
      </c>
      <c r="B44" s="3" t="s">
        <v>554</v>
      </c>
      <c r="C44" s="3" t="s">
        <v>544</v>
      </c>
      <c r="D44" s="4">
        <v>397.16</v>
      </c>
      <c r="E44" s="4">
        <v>755</v>
      </c>
      <c r="F44" s="4">
        <v>40.65</v>
      </c>
    </row>
    <row r="45" spans="1:6">
      <c r="A45" s="3" t="s">
        <v>555</v>
      </c>
      <c r="B45" s="3" t="s">
        <v>556</v>
      </c>
      <c r="C45" s="3" t="s">
        <v>544</v>
      </c>
      <c r="D45" s="4">
        <v>909.87</v>
      </c>
      <c r="E45" s="4">
        <v>1290</v>
      </c>
      <c r="F45" s="4">
        <v>27</v>
      </c>
    </row>
    <row r="46" spans="1:6">
      <c r="A46" s="3" t="s">
        <v>557</v>
      </c>
      <c r="B46" s="3" t="s">
        <v>558</v>
      </c>
      <c r="C46" s="3" t="s">
        <v>544</v>
      </c>
      <c r="D46" s="4">
        <v>689.03</v>
      </c>
      <c r="E46" s="4">
        <v>1008</v>
      </c>
      <c r="F46" s="4">
        <v>17.72</v>
      </c>
    </row>
    <row r="47" spans="1:6">
      <c r="A47" s="3" t="s">
        <v>559</v>
      </c>
      <c r="B47" s="3" t="s">
        <v>560</v>
      </c>
      <c r="C47" s="3" t="s">
        <v>544</v>
      </c>
      <c r="D47" s="4">
        <v>990.35</v>
      </c>
      <c r="E47" s="4">
        <v>1657</v>
      </c>
      <c r="F47" s="3"/>
    </row>
    <row r="48" spans="1:6">
      <c r="A48" s="3" t="s">
        <v>561</v>
      </c>
      <c r="B48" s="3" t="s">
        <v>562</v>
      </c>
      <c r="C48" s="3" t="s">
        <v>544</v>
      </c>
      <c r="D48" s="4">
        <v>796.52</v>
      </c>
      <c r="E48" s="4">
        <v>1532</v>
      </c>
      <c r="F48" s="4">
        <v>22.53</v>
      </c>
    </row>
    <row r="49" spans="1:6">
      <c r="A49" s="3" t="s">
        <v>563</v>
      </c>
      <c r="B49" s="3" t="s">
        <v>564</v>
      </c>
      <c r="C49" s="3" t="s">
        <v>544</v>
      </c>
      <c r="D49" s="4">
        <v>865.84</v>
      </c>
      <c r="E49" s="4">
        <v>1309</v>
      </c>
      <c r="F49" s="4">
        <v>41.53</v>
      </c>
    </row>
  </sheetData>
  <autoFilter ref="A1:F49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5" width="18.7109375" style="3" customWidth="1"/>
  </cols>
  <sheetData>
    <row r="1" spans="1:5" ht="32" customHeight="1">
      <c r="A1" s="1" t="s">
        <v>62</v>
      </c>
      <c r="B1" s="1" t="s">
        <v>565</v>
      </c>
      <c r="C1" s="1" t="s">
        <v>566</v>
      </c>
      <c r="D1" s="1" t="s">
        <v>567</v>
      </c>
      <c r="E1" s="1" t="s">
        <v>568</v>
      </c>
    </row>
    <row r="2" spans="1:5">
      <c r="A2" s="3" t="s">
        <v>166</v>
      </c>
      <c r="B2" s="3">
        <v>39</v>
      </c>
      <c r="C2" s="3">
        <v>3</v>
      </c>
      <c r="D2" s="4">
        <v>2034.25</v>
      </c>
      <c r="E2" s="5">
        <v>46216</v>
      </c>
    </row>
    <row r="3" spans="1:5">
      <c r="A3" s="3" t="s">
        <v>86</v>
      </c>
      <c r="B3" s="3">
        <v>2</v>
      </c>
      <c r="C3" s="3">
        <v>4</v>
      </c>
      <c r="D3" s="4">
        <v>3378.95</v>
      </c>
      <c r="E3" s="5">
        <v>46241</v>
      </c>
    </row>
    <row r="4" spans="1:5">
      <c r="A4" s="3" t="s">
        <v>106</v>
      </c>
      <c r="B4" s="3">
        <v>17</v>
      </c>
      <c r="C4" s="3">
        <v>4</v>
      </c>
      <c r="D4" s="4">
        <v>3499.05</v>
      </c>
      <c r="E4" s="5">
        <v>46226</v>
      </c>
    </row>
    <row r="5" spans="1:5">
      <c r="A5" s="3" t="s">
        <v>124</v>
      </c>
      <c r="B5" s="3">
        <v>32</v>
      </c>
      <c r="C5" s="3">
        <v>4</v>
      </c>
      <c r="D5" s="4">
        <v>4540.5</v>
      </c>
      <c r="E5" s="5">
        <v>46211</v>
      </c>
    </row>
    <row r="6" spans="1:5">
      <c r="A6" s="3" t="s">
        <v>142</v>
      </c>
      <c r="B6" s="3">
        <v>47</v>
      </c>
      <c r="C6" s="3">
        <v>3</v>
      </c>
      <c r="D6" s="4">
        <v>3035.75</v>
      </c>
      <c r="E6" s="5">
        <v>46208</v>
      </c>
    </row>
    <row r="7" spans="1:5">
      <c r="A7" s="3" t="s">
        <v>219</v>
      </c>
      <c r="B7" s="3">
        <v>22</v>
      </c>
      <c r="C7" s="3">
        <v>2</v>
      </c>
      <c r="D7" s="4">
        <v>2327.6</v>
      </c>
      <c r="E7" s="5">
        <v>46233</v>
      </c>
    </row>
    <row r="8" spans="1:5">
      <c r="A8" s="3" t="s">
        <v>75</v>
      </c>
      <c r="B8" s="3">
        <v>37</v>
      </c>
      <c r="C8" s="3">
        <v>3</v>
      </c>
      <c r="D8" s="4">
        <v>3376.5</v>
      </c>
      <c r="E8" s="5">
        <v>46218</v>
      </c>
    </row>
    <row r="9" spans="1:5">
      <c r="A9" s="3" t="s">
        <v>98</v>
      </c>
      <c r="B9" s="3">
        <v>0</v>
      </c>
      <c r="C9" s="3">
        <v>4</v>
      </c>
      <c r="D9" s="4">
        <v>876.65</v>
      </c>
      <c r="E9" s="5">
        <v>46231</v>
      </c>
    </row>
    <row r="10" spans="1:5">
      <c r="A10" s="3" t="s">
        <v>116</v>
      </c>
      <c r="B10" s="3">
        <v>15</v>
      </c>
      <c r="C10" s="3">
        <v>3</v>
      </c>
      <c r="D10" s="4">
        <v>2433.2</v>
      </c>
      <c r="E10" s="5">
        <v>46216</v>
      </c>
    </row>
    <row r="11" spans="1:5">
      <c r="A11" s="3" t="s">
        <v>132</v>
      </c>
      <c r="B11" s="3">
        <v>2</v>
      </c>
      <c r="C11" s="3">
        <v>3</v>
      </c>
      <c r="D11" s="4">
        <v>3475.95</v>
      </c>
      <c r="E11" s="5">
        <v>46213</v>
      </c>
    </row>
    <row r="12" spans="1:5">
      <c r="A12" s="3" t="s">
        <v>317</v>
      </c>
      <c r="B12" s="3">
        <v>45</v>
      </c>
      <c r="C12" s="3">
        <v>1</v>
      </c>
      <c r="D12" s="4">
        <v>97.28</v>
      </c>
      <c r="E12" s="5">
        <v>46250</v>
      </c>
    </row>
    <row r="13" spans="1:5">
      <c r="A13" s="3" t="s">
        <v>65</v>
      </c>
      <c r="B13" s="3">
        <v>20</v>
      </c>
      <c r="C13" s="3">
        <v>4</v>
      </c>
      <c r="D13" s="4">
        <v>3512.2</v>
      </c>
      <c r="E13" s="5">
        <v>46211</v>
      </c>
    </row>
    <row r="14" spans="1:5">
      <c r="A14" s="3" t="s">
        <v>88</v>
      </c>
      <c r="B14" s="3">
        <v>7</v>
      </c>
      <c r="C14" s="3">
        <v>3</v>
      </c>
      <c r="D14" s="4">
        <v>962.3</v>
      </c>
      <c r="E14" s="5">
        <v>46208</v>
      </c>
    </row>
    <row r="15" spans="1:5">
      <c r="A15" s="3" t="s">
        <v>108</v>
      </c>
      <c r="B15" s="3">
        <v>10</v>
      </c>
      <c r="C15" s="3">
        <v>3</v>
      </c>
      <c r="D15" s="4">
        <v>1949.74</v>
      </c>
      <c r="E15" s="5">
        <v>46245</v>
      </c>
    </row>
    <row r="16" spans="1:5">
      <c r="A16" s="3" t="s">
        <v>126</v>
      </c>
      <c r="B16" s="3">
        <v>25</v>
      </c>
      <c r="C16" s="3">
        <v>4</v>
      </c>
      <c r="D16" s="4">
        <v>3807.75</v>
      </c>
      <c r="E16" s="5">
        <v>46218</v>
      </c>
    </row>
    <row r="17" spans="1:5">
      <c r="A17" s="3" t="s">
        <v>144</v>
      </c>
      <c r="B17" s="3">
        <v>0</v>
      </c>
      <c r="C17" s="3">
        <v>4</v>
      </c>
      <c r="D17" s="4">
        <v>2510.35</v>
      </c>
      <c r="E17" s="5">
        <v>46215</v>
      </c>
    </row>
    <row r="18" spans="1:5">
      <c r="A18" s="3" t="s">
        <v>160</v>
      </c>
      <c r="B18" s="3">
        <v>15</v>
      </c>
      <c r="C18" s="3">
        <v>3</v>
      </c>
      <c r="D18" s="4">
        <v>2400.88</v>
      </c>
      <c r="E18" s="5">
        <v>46228</v>
      </c>
    </row>
    <row r="19" spans="1:5">
      <c r="A19" s="3" t="s">
        <v>78</v>
      </c>
      <c r="B19" s="3">
        <v>42</v>
      </c>
      <c r="C19" s="3">
        <v>2</v>
      </c>
      <c r="D19" s="4">
        <v>2626.23</v>
      </c>
      <c r="E19" s="5">
        <v>46225</v>
      </c>
    </row>
    <row r="20" spans="1:5">
      <c r="A20" s="3" t="s">
        <v>100</v>
      </c>
      <c r="B20" s="3">
        <v>45</v>
      </c>
      <c r="C20" s="3">
        <v>2</v>
      </c>
      <c r="D20" s="4">
        <v>2678.1</v>
      </c>
      <c r="E20" s="5">
        <v>46238</v>
      </c>
    </row>
    <row r="21" spans="1:5">
      <c r="A21" s="3" t="s">
        <v>118</v>
      </c>
      <c r="B21" s="3">
        <v>8</v>
      </c>
      <c r="C21" s="3">
        <v>4</v>
      </c>
      <c r="D21" s="4">
        <v>4615.4</v>
      </c>
      <c r="E21" s="5">
        <v>46223</v>
      </c>
    </row>
    <row r="22" spans="1:5">
      <c r="A22" s="3" t="s">
        <v>134</v>
      </c>
      <c r="B22" s="3">
        <v>35</v>
      </c>
      <c r="C22" s="3">
        <v>3</v>
      </c>
      <c r="D22" s="4">
        <v>2745.65</v>
      </c>
      <c r="E22" s="5">
        <v>46208</v>
      </c>
    </row>
    <row r="23" spans="1:5">
      <c r="A23" s="3" t="s">
        <v>154</v>
      </c>
      <c r="B23" s="3">
        <v>10</v>
      </c>
      <c r="C23" s="3">
        <v>3</v>
      </c>
      <c r="D23" s="4">
        <v>3649.7</v>
      </c>
      <c r="E23" s="5">
        <v>46205</v>
      </c>
    </row>
    <row r="24" spans="1:5">
      <c r="A24" s="3" t="s">
        <v>68</v>
      </c>
      <c r="B24" s="3">
        <v>13</v>
      </c>
      <c r="C24" s="3">
        <v>4</v>
      </c>
      <c r="D24" s="4">
        <v>7673.45</v>
      </c>
      <c r="E24" s="5">
        <v>46218</v>
      </c>
    </row>
    <row r="25" spans="1:5">
      <c r="A25" s="3" t="s">
        <v>90</v>
      </c>
      <c r="B25" s="3">
        <v>0</v>
      </c>
      <c r="C25" s="3">
        <v>3</v>
      </c>
      <c r="D25" s="4">
        <v>2914.81</v>
      </c>
      <c r="E25" s="5">
        <v>46215</v>
      </c>
    </row>
    <row r="26" spans="1:5">
      <c r="A26" s="3" t="s">
        <v>189</v>
      </c>
      <c r="B26" s="3">
        <v>3</v>
      </c>
      <c r="C26" s="3">
        <v>3</v>
      </c>
      <c r="D26" s="4">
        <v>3564.7</v>
      </c>
      <c r="E26" s="5">
        <v>46240</v>
      </c>
    </row>
    <row r="27" spans="1:5">
      <c r="A27" s="3" t="s">
        <v>201</v>
      </c>
      <c r="B27" s="3">
        <v>70</v>
      </c>
      <c r="C27" s="3">
        <v>1</v>
      </c>
      <c r="D27" s="4">
        <v>513.15</v>
      </c>
      <c r="E27" s="5">
        <v>46225</v>
      </c>
    </row>
    <row r="28" spans="1:5">
      <c r="A28" s="3" t="s">
        <v>146</v>
      </c>
      <c r="B28" s="3">
        <v>33</v>
      </c>
      <c r="C28" s="3">
        <v>4</v>
      </c>
      <c r="D28" s="4">
        <v>6415.74</v>
      </c>
      <c r="E28" s="5">
        <v>46210</v>
      </c>
    </row>
    <row r="29" spans="1:5">
      <c r="A29" s="3" t="s">
        <v>222</v>
      </c>
      <c r="B29" s="3">
        <v>8</v>
      </c>
      <c r="C29" s="3">
        <v>3</v>
      </c>
      <c r="D29" s="4">
        <v>4802.49</v>
      </c>
      <c r="E29" s="5">
        <v>46207</v>
      </c>
    </row>
    <row r="30" spans="1:5">
      <c r="A30" s="3" t="s">
        <v>80</v>
      </c>
      <c r="B30" s="3">
        <v>23</v>
      </c>
      <c r="C30" s="3">
        <v>4</v>
      </c>
      <c r="D30" s="4">
        <v>5347.46</v>
      </c>
      <c r="E30" s="5">
        <v>46220</v>
      </c>
    </row>
    <row r="31" spans="1:5">
      <c r="A31" s="3" t="s">
        <v>102</v>
      </c>
      <c r="B31" s="3">
        <v>38</v>
      </c>
      <c r="C31" s="3">
        <v>4</v>
      </c>
      <c r="D31" s="4">
        <v>3476.43</v>
      </c>
      <c r="E31" s="5">
        <v>46205</v>
      </c>
    </row>
    <row r="32" spans="1:5">
      <c r="A32" s="3" t="s">
        <v>120</v>
      </c>
      <c r="B32" s="3">
        <v>1</v>
      </c>
      <c r="C32" s="3">
        <v>4</v>
      </c>
      <c r="D32" s="4">
        <v>1232.65</v>
      </c>
      <c r="E32" s="5">
        <v>46230</v>
      </c>
    </row>
    <row r="33" spans="1:5">
      <c r="A33" s="3" t="s">
        <v>136</v>
      </c>
      <c r="B33" s="3">
        <v>16</v>
      </c>
      <c r="C33" s="3">
        <v>4</v>
      </c>
      <c r="D33" s="4">
        <v>5078.36</v>
      </c>
      <c r="E33" s="5">
        <v>46215</v>
      </c>
    </row>
    <row r="34" spans="1:5">
      <c r="A34" s="3" t="s">
        <v>156</v>
      </c>
      <c r="B34" s="3">
        <v>3</v>
      </c>
      <c r="C34" s="3">
        <v>4</v>
      </c>
      <c r="D34" s="4">
        <v>1883.05</v>
      </c>
      <c r="E34" s="5">
        <v>46212</v>
      </c>
    </row>
    <row r="35" spans="1:5">
      <c r="A35" s="3" t="s">
        <v>170</v>
      </c>
      <c r="B35" s="3">
        <v>6</v>
      </c>
      <c r="C35" s="3">
        <v>3</v>
      </c>
      <c r="D35" s="4">
        <v>973.9</v>
      </c>
      <c r="E35" s="5">
        <v>46237</v>
      </c>
    </row>
    <row r="36" spans="1:5">
      <c r="A36" s="3" t="s">
        <v>92</v>
      </c>
      <c r="B36" s="3">
        <v>21</v>
      </c>
      <c r="C36" s="3">
        <v>4</v>
      </c>
      <c r="D36" s="4">
        <v>4084.65</v>
      </c>
      <c r="E36" s="5">
        <v>46210</v>
      </c>
    </row>
    <row r="37" spans="1:5">
      <c r="A37" s="3" t="s">
        <v>110</v>
      </c>
      <c r="B37" s="3">
        <v>8</v>
      </c>
      <c r="C37" s="3">
        <v>4</v>
      </c>
      <c r="D37" s="4">
        <v>2435.63</v>
      </c>
      <c r="E37" s="5">
        <v>46207</v>
      </c>
    </row>
    <row r="38" spans="1:5">
      <c r="A38" s="3" t="s">
        <v>128</v>
      </c>
      <c r="B38" s="3">
        <v>11</v>
      </c>
      <c r="C38" s="3">
        <v>3</v>
      </c>
      <c r="D38" s="4">
        <v>4072.28</v>
      </c>
      <c r="E38" s="5">
        <v>46232</v>
      </c>
    </row>
    <row r="39" spans="1:5">
      <c r="A39" s="3" t="s">
        <v>148</v>
      </c>
      <c r="B39" s="3">
        <v>38</v>
      </c>
      <c r="C39" s="3">
        <v>2</v>
      </c>
      <c r="D39" s="4">
        <v>1592.89</v>
      </c>
      <c r="E39" s="5">
        <v>46217</v>
      </c>
    </row>
    <row r="40" spans="1:5">
      <c r="A40" s="3" t="s">
        <v>162</v>
      </c>
      <c r="B40" s="3">
        <v>1</v>
      </c>
      <c r="C40" s="3">
        <v>4</v>
      </c>
      <c r="D40" s="4">
        <v>4786.73</v>
      </c>
      <c r="E40" s="5">
        <v>46214</v>
      </c>
    </row>
    <row r="41" spans="1:5">
      <c r="A41" s="3" t="s">
        <v>82</v>
      </c>
      <c r="B41" s="3">
        <v>16</v>
      </c>
      <c r="C41" s="3">
        <v>4</v>
      </c>
      <c r="D41" s="4">
        <v>1722.01</v>
      </c>
      <c r="E41" s="5">
        <v>46227</v>
      </c>
    </row>
    <row r="42" spans="1:5">
      <c r="A42" s="3" t="s">
        <v>185</v>
      </c>
      <c r="B42" s="3">
        <v>31</v>
      </c>
      <c r="C42" s="3">
        <v>3</v>
      </c>
      <c r="D42" s="4">
        <v>2828.25</v>
      </c>
      <c r="E42" s="5">
        <v>46212</v>
      </c>
    </row>
    <row r="43" spans="1:5">
      <c r="A43" s="3" t="s">
        <v>122</v>
      </c>
      <c r="B43" s="3">
        <v>6</v>
      </c>
      <c r="C43" s="3">
        <v>4</v>
      </c>
      <c r="D43" s="4">
        <v>4951.71</v>
      </c>
      <c r="E43" s="5">
        <v>46209</v>
      </c>
    </row>
    <row r="44" spans="1:5">
      <c r="A44" s="3" t="s">
        <v>138</v>
      </c>
      <c r="B44" s="3">
        <v>9</v>
      </c>
      <c r="C44" s="3">
        <v>4</v>
      </c>
      <c r="D44" s="4">
        <v>4540.42</v>
      </c>
      <c r="E44" s="5">
        <v>46222</v>
      </c>
    </row>
    <row r="45" spans="1:5">
      <c r="A45" s="3" t="s">
        <v>158</v>
      </c>
      <c r="B45" s="3">
        <v>24</v>
      </c>
      <c r="C45" s="3">
        <v>4</v>
      </c>
      <c r="D45" s="4">
        <v>2978.32</v>
      </c>
      <c r="E45" s="5">
        <v>46207</v>
      </c>
    </row>
    <row r="46" spans="1:5">
      <c r="A46" s="3" t="s">
        <v>71</v>
      </c>
      <c r="B46" s="3">
        <v>11</v>
      </c>
      <c r="C46" s="3">
        <v>3</v>
      </c>
      <c r="D46" s="4">
        <v>5480.03</v>
      </c>
      <c r="E46" s="5">
        <v>46204</v>
      </c>
    </row>
    <row r="47" spans="1:5">
      <c r="A47" s="3" t="s">
        <v>94</v>
      </c>
      <c r="B47" s="3">
        <v>14</v>
      </c>
      <c r="C47" s="3">
        <v>4</v>
      </c>
      <c r="D47" s="4">
        <v>3550.5</v>
      </c>
      <c r="E47" s="5">
        <v>46217</v>
      </c>
    </row>
    <row r="48" spans="1:5">
      <c r="A48" s="3" t="s">
        <v>112</v>
      </c>
      <c r="B48" s="3">
        <v>1</v>
      </c>
      <c r="C48" s="3">
        <v>4</v>
      </c>
      <c r="D48" s="4">
        <v>2188.55</v>
      </c>
      <c r="E48" s="5">
        <v>46214</v>
      </c>
    </row>
    <row r="49" spans="1:5">
      <c r="A49" s="3" t="s">
        <v>204</v>
      </c>
      <c r="B49" s="3">
        <v>4</v>
      </c>
      <c r="C49" s="3">
        <v>3</v>
      </c>
      <c r="D49" s="4">
        <v>4290.19</v>
      </c>
      <c r="E49" s="5">
        <v>46239</v>
      </c>
    </row>
    <row r="50" spans="1:5">
      <c r="A50" s="3" t="s">
        <v>150</v>
      </c>
      <c r="B50" s="3">
        <v>19</v>
      </c>
      <c r="C50" s="3">
        <v>4</v>
      </c>
      <c r="D50" s="4">
        <v>4539</v>
      </c>
      <c r="E50" s="5">
        <v>46224</v>
      </c>
    </row>
    <row r="51" spans="1:5">
      <c r="A51" s="3" t="s">
        <v>164</v>
      </c>
      <c r="B51" s="3">
        <v>34</v>
      </c>
      <c r="C51" s="3">
        <v>3</v>
      </c>
      <c r="D51" s="4">
        <v>2282.4</v>
      </c>
      <c r="E51" s="5">
        <v>46209</v>
      </c>
    </row>
    <row r="52" spans="1:5">
      <c r="A52" s="3" t="s">
        <v>84</v>
      </c>
      <c r="B52" s="3">
        <v>9</v>
      </c>
      <c r="C52" s="3">
        <v>4</v>
      </c>
      <c r="D52" s="4">
        <v>3118.72</v>
      </c>
      <c r="E52" s="5">
        <v>46234</v>
      </c>
    </row>
    <row r="53" spans="1:5">
      <c r="A53" s="3" t="s">
        <v>104</v>
      </c>
      <c r="B53" s="3">
        <v>24</v>
      </c>
      <c r="C53" s="3">
        <v>3</v>
      </c>
      <c r="D53" s="4">
        <v>3124.9</v>
      </c>
      <c r="E53" s="5">
        <v>46219</v>
      </c>
    </row>
    <row r="54" spans="1:5">
      <c r="A54" s="3" t="s">
        <v>197</v>
      </c>
      <c r="B54" s="3">
        <v>39</v>
      </c>
      <c r="C54" s="3">
        <v>3</v>
      </c>
      <c r="D54" s="4">
        <v>2015.35</v>
      </c>
      <c r="E54" s="5">
        <v>46204</v>
      </c>
    </row>
    <row r="55" spans="1:5">
      <c r="A55" s="3" t="s">
        <v>140</v>
      </c>
      <c r="B55" s="3">
        <v>2</v>
      </c>
      <c r="C55" s="3">
        <v>3</v>
      </c>
      <c r="D55" s="4">
        <v>1347.75</v>
      </c>
      <c r="E55" s="5">
        <v>46229</v>
      </c>
    </row>
    <row r="56" spans="1:5">
      <c r="A56" s="3" t="s">
        <v>217</v>
      </c>
      <c r="B56" s="3">
        <v>17</v>
      </c>
      <c r="C56" s="3">
        <v>3</v>
      </c>
      <c r="D56" s="4">
        <v>2351.4</v>
      </c>
      <c r="E56" s="5">
        <v>46226</v>
      </c>
    </row>
    <row r="57" spans="1:5">
      <c r="A57" s="3" t="s">
        <v>73</v>
      </c>
      <c r="B57" s="3">
        <v>4</v>
      </c>
      <c r="C57" s="3">
        <v>2</v>
      </c>
      <c r="D57" s="4">
        <v>3332.85</v>
      </c>
      <c r="E57" s="5">
        <v>46239</v>
      </c>
    </row>
    <row r="58" spans="1:5">
      <c r="A58" s="3" t="s">
        <v>96</v>
      </c>
      <c r="B58" s="3">
        <v>19</v>
      </c>
      <c r="C58" s="3">
        <v>3</v>
      </c>
      <c r="D58" s="4">
        <v>2982.3</v>
      </c>
      <c r="E58" s="5">
        <v>46224</v>
      </c>
    </row>
    <row r="59" spans="1:5">
      <c r="A59" s="3" t="s">
        <v>114</v>
      </c>
      <c r="B59" s="3">
        <v>22</v>
      </c>
      <c r="C59" s="3">
        <v>3</v>
      </c>
      <c r="D59" s="4">
        <v>1738.35</v>
      </c>
      <c r="E59" s="5">
        <v>46209</v>
      </c>
    </row>
    <row r="60" spans="1:5">
      <c r="A60" s="3" t="s">
        <v>130</v>
      </c>
      <c r="B60" s="3">
        <v>9</v>
      </c>
      <c r="C60" s="3">
        <v>3</v>
      </c>
      <c r="D60" s="4">
        <v>1349.1</v>
      </c>
      <c r="E60" s="5">
        <v>46206</v>
      </c>
    </row>
    <row r="61" spans="1:5">
      <c r="A61" s="3" t="s">
        <v>152</v>
      </c>
      <c r="B61" s="3">
        <v>12</v>
      </c>
      <c r="C61" s="3">
        <v>4</v>
      </c>
      <c r="D61" s="4">
        <v>4867.18</v>
      </c>
      <c r="E61" s="5">
        <v>46231</v>
      </c>
    </row>
  </sheetData>
  <autoFilter ref="A1:E6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18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7" width="18.7109375" style="3" customWidth="1"/>
  </cols>
  <sheetData>
    <row r="1" spans="1:7" ht="32" customHeight="1">
      <c r="A1" s="1" t="s">
        <v>569</v>
      </c>
      <c r="B1" s="1" t="s">
        <v>49</v>
      </c>
      <c r="C1" s="1" t="s">
        <v>20</v>
      </c>
      <c r="D1" s="1" t="s">
        <v>19</v>
      </c>
      <c r="E1" s="1" t="s">
        <v>570</v>
      </c>
      <c r="F1" s="1" t="s">
        <v>571</v>
      </c>
      <c r="G1" s="1" t="s">
        <v>572</v>
      </c>
    </row>
    <row r="2" spans="1:7">
      <c r="A2" s="3" t="s">
        <v>573</v>
      </c>
      <c r="B2" s="5">
        <v>46266</v>
      </c>
      <c r="C2" s="3">
        <v>1089</v>
      </c>
      <c r="D2" s="3">
        <v>33</v>
      </c>
      <c r="E2" s="4">
        <v>31.35</v>
      </c>
      <c r="F2" s="3">
        <v>2</v>
      </c>
      <c r="G2" s="4">
        <v>18</v>
      </c>
    </row>
    <row r="3" spans="1:7">
      <c r="A3" s="3" t="s">
        <v>573</v>
      </c>
      <c r="B3" s="5">
        <v>46267</v>
      </c>
      <c r="C3" s="3">
        <v>1840</v>
      </c>
      <c r="D3" s="3">
        <v>46</v>
      </c>
      <c r="E3" s="4">
        <v>71.76000000000001</v>
      </c>
      <c r="F3" s="3">
        <v>5</v>
      </c>
      <c r="G3" s="4">
        <v>45</v>
      </c>
    </row>
    <row r="4" spans="1:7">
      <c r="A4" s="3" t="s">
        <v>573</v>
      </c>
      <c r="B4" s="5">
        <v>46268</v>
      </c>
      <c r="C4" s="3">
        <v>1406</v>
      </c>
      <c r="D4" s="3">
        <v>38</v>
      </c>
      <c r="E4" s="4">
        <v>59.28</v>
      </c>
      <c r="F4" s="3">
        <v>1</v>
      </c>
      <c r="G4" s="4">
        <v>9</v>
      </c>
    </row>
    <row r="5" spans="1:7">
      <c r="A5" s="3" t="s">
        <v>573</v>
      </c>
      <c r="B5" s="5">
        <v>46269</v>
      </c>
      <c r="C5" s="3">
        <v>621</v>
      </c>
      <c r="D5" s="3">
        <v>27</v>
      </c>
      <c r="E5" s="4">
        <v>30.24</v>
      </c>
      <c r="F5" s="3">
        <v>3</v>
      </c>
      <c r="G5" s="4">
        <v>27</v>
      </c>
    </row>
    <row r="6" spans="1:7">
      <c r="A6" s="3" t="s">
        <v>573</v>
      </c>
      <c r="B6" s="5">
        <v>46270</v>
      </c>
      <c r="C6" s="3">
        <v>348</v>
      </c>
      <c r="D6" s="3">
        <v>12</v>
      </c>
      <c r="E6" s="4">
        <v>10.92</v>
      </c>
      <c r="F6" s="3">
        <v>0</v>
      </c>
      <c r="G6" s="4">
        <v>0</v>
      </c>
    </row>
    <row r="7" spans="1:7">
      <c r="A7" s="3" t="s">
        <v>573</v>
      </c>
      <c r="B7" s="5">
        <v>46271</v>
      </c>
      <c r="C7" s="3">
        <v>1826</v>
      </c>
      <c r="D7" s="3">
        <v>83</v>
      </c>
      <c r="E7" s="4">
        <v>106.24</v>
      </c>
      <c r="F7" s="3">
        <v>3</v>
      </c>
      <c r="G7" s="4">
        <v>27</v>
      </c>
    </row>
    <row r="8" spans="1:7">
      <c r="A8" s="3" t="s">
        <v>573</v>
      </c>
      <c r="B8" s="5">
        <v>46272</v>
      </c>
      <c r="C8" s="3">
        <v>2666</v>
      </c>
      <c r="D8" s="3">
        <v>86</v>
      </c>
      <c r="E8" s="4">
        <v>114.38</v>
      </c>
      <c r="F8" s="3">
        <v>1</v>
      </c>
      <c r="G8" s="4">
        <v>9</v>
      </c>
    </row>
    <row r="9" spans="1:7">
      <c r="A9" s="3" t="s">
        <v>573</v>
      </c>
      <c r="B9" s="5">
        <v>46273</v>
      </c>
      <c r="C9" s="3">
        <v>2079</v>
      </c>
      <c r="D9" s="3">
        <v>63</v>
      </c>
      <c r="E9" s="4">
        <v>67.41</v>
      </c>
      <c r="F9" s="3">
        <v>3</v>
      </c>
      <c r="G9" s="4">
        <v>27</v>
      </c>
    </row>
    <row r="10" spans="1:7">
      <c r="A10" s="3" t="s">
        <v>573</v>
      </c>
      <c r="B10" s="5">
        <v>46274</v>
      </c>
      <c r="C10" s="3">
        <v>1584</v>
      </c>
      <c r="D10" s="3">
        <v>48</v>
      </c>
      <c r="E10" s="4">
        <v>76.31999999999999</v>
      </c>
      <c r="F10" s="3">
        <v>4</v>
      </c>
      <c r="G10" s="4">
        <v>36</v>
      </c>
    </row>
    <row r="11" spans="1:7">
      <c r="A11" s="3" t="s">
        <v>573</v>
      </c>
      <c r="B11" s="5">
        <v>46275</v>
      </c>
      <c r="C11" s="3">
        <v>2914</v>
      </c>
      <c r="D11" s="3">
        <v>62</v>
      </c>
      <c r="E11" s="4">
        <v>55.18</v>
      </c>
      <c r="F11" s="3">
        <v>4</v>
      </c>
      <c r="G11" s="4">
        <v>36</v>
      </c>
    </row>
    <row r="12" spans="1:7">
      <c r="A12" s="3" t="s">
        <v>573</v>
      </c>
      <c r="B12" s="5">
        <v>46276</v>
      </c>
      <c r="C12" s="3">
        <v>840</v>
      </c>
      <c r="D12" s="3">
        <v>21</v>
      </c>
      <c r="E12" s="4">
        <v>31.5</v>
      </c>
      <c r="F12" s="3">
        <v>2</v>
      </c>
      <c r="G12" s="4">
        <v>18</v>
      </c>
    </row>
    <row r="13" spans="1:7">
      <c r="A13" s="3" t="s">
        <v>573</v>
      </c>
      <c r="B13" s="5">
        <v>46277</v>
      </c>
      <c r="C13" s="3">
        <v>1728</v>
      </c>
      <c r="D13" s="3">
        <v>72</v>
      </c>
      <c r="E13" s="4">
        <v>49.68</v>
      </c>
      <c r="F13" s="3">
        <v>1</v>
      </c>
      <c r="G13" s="4">
        <v>9</v>
      </c>
    </row>
    <row r="14" spans="1:7">
      <c r="A14" s="3" t="s">
        <v>573</v>
      </c>
      <c r="B14" s="5">
        <v>46278</v>
      </c>
      <c r="C14" s="3">
        <v>1122</v>
      </c>
      <c r="D14" s="3">
        <v>34</v>
      </c>
      <c r="E14" s="4">
        <v>20.74</v>
      </c>
      <c r="F14" s="3">
        <v>0</v>
      </c>
      <c r="G14" s="4">
        <v>0</v>
      </c>
    </row>
    <row r="15" spans="1:7">
      <c r="A15" s="3" t="s">
        <v>573</v>
      </c>
      <c r="B15" s="5">
        <v>46279</v>
      </c>
      <c r="C15" s="3">
        <v>2480</v>
      </c>
      <c r="D15" s="3">
        <v>62</v>
      </c>
      <c r="E15" s="4">
        <v>47.74</v>
      </c>
      <c r="F15" s="3">
        <v>4</v>
      </c>
      <c r="G15" s="4">
        <v>36</v>
      </c>
    </row>
    <row r="16" spans="1:7">
      <c r="A16" s="3" t="s">
        <v>573</v>
      </c>
      <c r="B16" s="5">
        <v>46280</v>
      </c>
      <c r="C16" s="3">
        <v>1392</v>
      </c>
      <c r="D16" s="3">
        <v>48</v>
      </c>
      <c r="E16" s="4">
        <v>64.31999999999999</v>
      </c>
      <c r="F16" s="3">
        <v>3</v>
      </c>
      <c r="G16" s="4">
        <v>27</v>
      </c>
    </row>
    <row r="17" spans="1:7">
      <c r="A17" s="3" t="s">
        <v>573</v>
      </c>
      <c r="B17" s="5">
        <v>46281</v>
      </c>
      <c r="C17" s="3">
        <v>1012</v>
      </c>
      <c r="D17" s="3">
        <v>22</v>
      </c>
      <c r="E17" s="4">
        <v>14.96</v>
      </c>
      <c r="F17" s="3">
        <v>0</v>
      </c>
      <c r="G17" s="4">
        <v>0</v>
      </c>
    </row>
    <row r="18" spans="1:7">
      <c r="A18" s="3" t="s">
        <v>573</v>
      </c>
      <c r="B18" s="5">
        <v>46282</v>
      </c>
      <c r="C18" s="3">
        <v>2880</v>
      </c>
      <c r="D18" s="3">
        <v>72</v>
      </c>
      <c r="E18" s="4">
        <v>120.24</v>
      </c>
      <c r="F18" s="3">
        <v>5</v>
      </c>
      <c r="G18" s="4">
        <v>45</v>
      </c>
    </row>
    <row r="19" spans="1:7">
      <c r="A19" s="3" t="s">
        <v>573</v>
      </c>
      <c r="B19" s="5">
        <v>46283</v>
      </c>
      <c r="C19" s="3">
        <v>2380</v>
      </c>
      <c r="D19" s="3">
        <v>70</v>
      </c>
      <c r="E19" s="4">
        <v>115.5</v>
      </c>
      <c r="F19" s="3">
        <v>1</v>
      </c>
      <c r="G19" s="4">
        <v>9</v>
      </c>
    </row>
    <row r="20" spans="1:7">
      <c r="A20" s="3" t="s">
        <v>573</v>
      </c>
      <c r="B20" s="5">
        <v>46284</v>
      </c>
      <c r="C20" s="3">
        <v>2520</v>
      </c>
      <c r="D20" s="3">
        <v>70</v>
      </c>
      <c r="E20" s="4">
        <v>48.3</v>
      </c>
      <c r="F20" s="3">
        <v>3</v>
      </c>
      <c r="G20" s="4">
        <v>27</v>
      </c>
    </row>
    <row r="21" spans="1:7">
      <c r="A21" s="3" t="s">
        <v>573</v>
      </c>
      <c r="B21" s="5">
        <v>46285</v>
      </c>
      <c r="C21" s="3">
        <v>3800</v>
      </c>
      <c r="D21" s="3">
        <v>76</v>
      </c>
      <c r="E21" s="4">
        <v>97.28</v>
      </c>
      <c r="F21" s="3">
        <v>4</v>
      </c>
      <c r="G21" s="4">
        <v>36</v>
      </c>
    </row>
    <row r="22" spans="1:7">
      <c r="A22" s="3" t="s">
        <v>573</v>
      </c>
      <c r="B22" s="5">
        <v>46286</v>
      </c>
      <c r="C22" s="3">
        <v>2025</v>
      </c>
      <c r="D22" s="3">
        <v>81</v>
      </c>
      <c r="E22" s="4">
        <v>113.4</v>
      </c>
      <c r="F22" s="3">
        <v>5</v>
      </c>
      <c r="G22" s="4">
        <v>45</v>
      </c>
    </row>
    <row r="23" spans="1:7">
      <c r="A23" s="3" t="s">
        <v>573</v>
      </c>
      <c r="B23" s="5">
        <v>46287</v>
      </c>
      <c r="C23" s="3">
        <v>1892</v>
      </c>
      <c r="D23" s="3">
        <v>43</v>
      </c>
      <c r="E23" s="4">
        <v>37.41</v>
      </c>
      <c r="F23" s="3">
        <v>5</v>
      </c>
      <c r="G23" s="4">
        <v>45</v>
      </c>
    </row>
    <row r="24" spans="1:7">
      <c r="A24" s="3" t="s">
        <v>573</v>
      </c>
      <c r="B24" s="5">
        <v>46288</v>
      </c>
      <c r="C24" s="3">
        <v>750</v>
      </c>
      <c r="D24" s="3">
        <v>25</v>
      </c>
      <c r="E24" s="4">
        <v>19</v>
      </c>
      <c r="F24" s="3">
        <v>5</v>
      </c>
      <c r="G24" s="4">
        <v>45</v>
      </c>
    </row>
    <row r="25" spans="1:7">
      <c r="A25" s="3" t="s">
        <v>573</v>
      </c>
      <c r="B25" s="5">
        <v>46289</v>
      </c>
      <c r="C25" s="3">
        <v>2009</v>
      </c>
      <c r="D25" s="3">
        <v>49</v>
      </c>
      <c r="E25" s="4">
        <v>45.57</v>
      </c>
      <c r="F25" s="3">
        <v>3</v>
      </c>
      <c r="G25" s="4">
        <v>27</v>
      </c>
    </row>
    <row r="26" spans="1:7">
      <c r="A26" s="3" t="s">
        <v>573</v>
      </c>
      <c r="B26" s="5">
        <v>46290</v>
      </c>
      <c r="C26" s="3">
        <v>1944</v>
      </c>
      <c r="D26" s="3">
        <v>81</v>
      </c>
      <c r="E26" s="4">
        <v>89.91</v>
      </c>
      <c r="F26" s="3">
        <v>2</v>
      </c>
      <c r="G26" s="4">
        <v>18</v>
      </c>
    </row>
    <row r="27" spans="1:7">
      <c r="A27" s="3" t="s">
        <v>573</v>
      </c>
      <c r="B27" s="5">
        <v>46291</v>
      </c>
      <c r="C27" s="3">
        <v>1044</v>
      </c>
      <c r="D27" s="3">
        <v>29</v>
      </c>
      <c r="E27" s="4">
        <v>37.41</v>
      </c>
      <c r="F27" s="3">
        <v>5</v>
      </c>
      <c r="G27" s="4">
        <v>45</v>
      </c>
    </row>
    <row r="28" spans="1:7">
      <c r="A28" s="3" t="s">
        <v>573</v>
      </c>
      <c r="B28" s="5">
        <v>46292</v>
      </c>
      <c r="C28" s="3">
        <v>1496</v>
      </c>
      <c r="D28" s="3">
        <v>34</v>
      </c>
      <c r="E28" s="4">
        <v>54.74</v>
      </c>
      <c r="F28" s="3">
        <v>0</v>
      </c>
      <c r="G28" s="4">
        <v>0</v>
      </c>
    </row>
    <row r="29" spans="1:7">
      <c r="A29" s="3" t="s">
        <v>573</v>
      </c>
      <c r="B29" s="5">
        <v>46293</v>
      </c>
      <c r="C29" s="3">
        <v>2479</v>
      </c>
      <c r="D29" s="3">
        <v>67</v>
      </c>
      <c r="E29" s="4">
        <v>88.44</v>
      </c>
      <c r="F29" s="3">
        <v>0</v>
      </c>
      <c r="G29" s="4">
        <v>0</v>
      </c>
    </row>
    <row r="30" spans="1:7">
      <c r="A30" s="3" t="s">
        <v>573</v>
      </c>
      <c r="B30" s="5">
        <v>46294</v>
      </c>
      <c r="C30" s="3">
        <v>2784</v>
      </c>
      <c r="D30" s="3">
        <v>87</v>
      </c>
      <c r="E30" s="4">
        <v>93.09</v>
      </c>
      <c r="F30" s="3">
        <v>1</v>
      </c>
      <c r="G30" s="4">
        <v>9</v>
      </c>
    </row>
    <row r="31" spans="1:7">
      <c r="A31" s="3" t="s">
        <v>573</v>
      </c>
      <c r="B31" s="5">
        <v>46295</v>
      </c>
      <c r="C31" s="3">
        <v>2450</v>
      </c>
      <c r="D31" s="3">
        <v>49</v>
      </c>
      <c r="E31" s="4">
        <v>45.57</v>
      </c>
      <c r="F31" s="3">
        <v>2</v>
      </c>
      <c r="G31" s="4">
        <v>18</v>
      </c>
    </row>
    <row r="32" spans="1:7">
      <c r="A32" s="3" t="s">
        <v>574</v>
      </c>
      <c r="B32" s="5">
        <v>46266</v>
      </c>
      <c r="C32" s="3">
        <v>1440</v>
      </c>
      <c r="D32" s="3">
        <v>36</v>
      </c>
      <c r="E32" s="4">
        <v>43.92</v>
      </c>
      <c r="F32" s="3">
        <v>0</v>
      </c>
      <c r="G32" s="4">
        <v>0</v>
      </c>
    </row>
    <row r="33" spans="1:7">
      <c r="A33" s="3" t="s">
        <v>574</v>
      </c>
      <c r="B33" s="5">
        <v>46267</v>
      </c>
      <c r="C33" s="3">
        <v>1287</v>
      </c>
      <c r="D33" s="3">
        <v>39</v>
      </c>
      <c r="E33" s="4">
        <v>30.03</v>
      </c>
      <c r="F33" s="3">
        <v>5</v>
      </c>
      <c r="G33" s="4">
        <v>170</v>
      </c>
    </row>
    <row r="34" spans="1:7">
      <c r="A34" s="3" t="s">
        <v>574</v>
      </c>
      <c r="B34" s="5">
        <v>46268</v>
      </c>
      <c r="C34" s="3">
        <v>1914</v>
      </c>
      <c r="D34" s="3">
        <v>87</v>
      </c>
      <c r="E34" s="4">
        <v>76.56</v>
      </c>
      <c r="F34" s="3">
        <v>5</v>
      </c>
      <c r="G34" s="4">
        <v>170</v>
      </c>
    </row>
    <row r="35" spans="1:7">
      <c r="A35" s="3" t="s">
        <v>574</v>
      </c>
      <c r="B35" s="5">
        <v>46269</v>
      </c>
      <c r="C35" s="3">
        <v>522</v>
      </c>
      <c r="D35" s="3">
        <v>18</v>
      </c>
      <c r="E35" s="4">
        <v>18.18</v>
      </c>
      <c r="F35" s="3">
        <v>2</v>
      </c>
      <c r="G35" s="4">
        <v>68</v>
      </c>
    </row>
    <row r="36" spans="1:7">
      <c r="A36" s="3" t="s">
        <v>574</v>
      </c>
      <c r="B36" s="5">
        <v>46270</v>
      </c>
      <c r="C36" s="3">
        <v>2739</v>
      </c>
      <c r="D36" s="3">
        <v>83</v>
      </c>
      <c r="E36" s="4">
        <v>136.95</v>
      </c>
      <c r="F36" s="3">
        <v>4</v>
      </c>
      <c r="G36" s="4">
        <v>136</v>
      </c>
    </row>
    <row r="37" spans="1:7">
      <c r="A37" s="3" t="s">
        <v>574</v>
      </c>
      <c r="B37" s="5">
        <v>46271</v>
      </c>
      <c r="C37" s="3">
        <v>2600</v>
      </c>
      <c r="D37" s="3">
        <v>65</v>
      </c>
      <c r="E37" s="4">
        <v>62.4</v>
      </c>
      <c r="F37" s="3">
        <v>5</v>
      </c>
      <c r="G37" s="4">
        <v>170</v>
      </c>
    </row>
    <row r="38" spans="1:7">
      <c r="A38" s="3" t="s">
        <v>574</v>
      </c>
      <c r="B38" s="5">
        <v>46272</v>
      </c>
      <c r="C38" s="3">
        <v>1961</v>
      </c>
      <c r="D38" s="3">
        <v>53</v>
      </c>
      <c r="E38" s="4">
        <v>86.92</v>
      </c>
      <c r="F38" s="3">
        <v>0</v>
      </c>
      <c r="G38" s="4">
        <v>0</v>
      </c>
    </row>
    <row r="39" spans="1:7">
      <c r="A39" s="3" t="s">
        <v>574</v>
      </c>
      <c r="B39" s="5">
        <v>46273</v>
      </c>
      <c r="C39" s="3">
        <v>2880</v>
      </c>
      <c r="D39" s="3">
        <v>60</v>
      </c>
      <c r="E39" s="4">
        <v>54</v>
      </c>
      <c r="F39" s="3">
        <v>5</v>
      </c>
      <c r="G39" s="4">
        <v>170</v>
      </c>
    </row>
    <row r="40" spans="1:7">
      <c r="A40" s="3" t="s">
        <v>574</v>
      </c>
      <c r="B40" s="5">
        <v>46274</v>
      </c>
      <c r="C40" s="3">
        <v>792</v>
      </c>
      <c r="D40" s="3">
        <v>22</v>
      </c>
      <c r="E40" s="4">
        <v>16.94</v>
      </c>
      <c r="F40" s="3">
        <v>1</v>
      </c>
      <c r="G40" s="4">
        <v>34</v>
      </c>
    </row>
    <row r="41" spans="1:7">
      <c r="A41" s="3" t="s">
        <v>574</v>
      </c>
      <c r="B41" s="5">
        <v>46275</v>
      </c>
      <c r="C41" s="3">
        <v>1620</v>
      </c>
      <c r="D41" s="3">
        <v>36</v>
      </c>
      <c r="E41" s="4">
        <v>46.44</v>
      </c>
      <c r="F41" s="3">
        <v>3</v>
      </c>
      <c r="G41" s="4">
        <v>102</v>
      </c>
    </row>
    <row r="42" spans="1:7">
      <c r="A42" s="3" t="s">
        <v>574</v>
      </c>
      <c r="B42" s="5">
        <v>46276</v>
      </c>
      <c r="C42" s="3">
        <v>3036</v>
      </c>
      <c r="D42" s="3">
        <v>66</v>
      </c>
      <c r="E42" s="4">
        <v>101.64</v>
      </c>
      <c r="F42" s="3">
        <v>2</v>
      </c>
      <c r="G42" s="4">
        <v>68</v>
      </c>
    </row>
    <row r="43" spans="1:7">
      <c r="A43" s="3" t="s">
        <v>574</v>
      </c>
      <c r="B43" s="5">
        <v>46277</v>
      </c>
      <c r="C43" s="3">
        <v>1150</v>
      </c>
      <c r="D43" s="3">
        <v>23</v>
      </c>
      <c r="E43" s="4">
        <v>28.52</v>
      </c>
      <c r="F43" s="3">
        <v>3</v>
      </c>
      <c r="G43" s="4">
        <v>102</v>
      </c>
    </row>
    <row r="44" spans="1:7">
      <c r="A44" s="3" t="s">
        <v>574</v>
      </c>
      <c r="B44" s="5">
        <v>46278</v>
      </c>
      <c r="C44" s="3">
        <v>1200</v>
      </c>
      <c r="D44" s="3">
        <v>24</v>
      </c>
      <c r="E44" s="4">
        <v>22.32</v>
      </c>
      <c r="F44" s="3">
        <v>0</v>
      </c>
      <c r="G44" s="4">
        <v>0</v>
      </c>
    </row>
    <row r="45" spans="1:7">
      <c r="A45" s="3" t="s">
        <v>574</v>
      </c>
      <c r="B45" s="5">
        <v>46279</v>
      </c>
      <c r="C45" s="3">
        <v>1024</v>
      </c>
      <c r="D45" s="3">
        <v>32</v>
      </c>
      <c r="E45" s="4">
        <v>49.6</v>
      </c>
      <c r="F45" s="3">
        <v>5</v>
      </c>
      <c r="G45" s="4">
        <v>170</v>
      </c>
    </row>
    <row r="46" spans="1:7">
      <c r="A46" s="3" t="s">
        <v>574</v>
      </c>
      <c r="B46" s="5">
        <v>46280</v>
      </c>
      <c r="C46" s="3">
        <v>3036</v>
      </c>
      <c r="D46" s="3">
        <v>66</v>
      </c>
      <c r="E46" s="4">
        <v>64.68000000000001</v>
      </c>
      <c r="F46" s="3">
        <v>2</v>
      </c>
      <c r="G46" s="4">
        <v>68</v>
      </c>
    </row>
    <row r="47" spans="1:7">
      <c r="A47" s="3" t="s">
        <v>574</v>
      </c>
      <c r="B47" s="5">
        <v>46281</v>
      </c>
      <c r="C47" s="3">
        <v>2350</v>
      </c>
      <c r="D47" s="3">
        <v>50</v>
      </c>
      <c r="E47" s="4">
        <v>58.5</v>
      </c>
      <c r="F47" s="3">
        <v>0</v>
      </c>
      <c r="G47" s="4">
        <v>0</v>
      </c>
    </row>
    <row r="48" spans="1:7">
      <c r="A48" s="3" t="s">
        <v>574</v>
      </c>
      <c r="B48" s="5">
        <v>46282</v>
      </c>
      <c r="C48" s="3">
        <v>2544</v>
      </c>
      <c r="D48" s="3">
        <v>53</v>
      </c>
      <c r="E48" s="4">
        <v>70.48999999999999</v>
      </c>
      <c r="F48" s="3">
        <v>5</v>
      </c>
      <c r="G48" s="4">
        <v>170</v>
      </c>
    </row>
    <row r="49" spans="1:7">
      <c r="A49" s="3" t="s">
        <v>574</v>
      </c>
      <c r="B49" s="5">
        <v>46283</v>
      </c>
      <c r="C49" s="3">
        <v>3500</v>
      </c>
      <c r="D49" s="3">
        <v>70</v>
      </c>
      <c r="E49" s="4">
        <v>51.8</v>
      </c>
      <c r="F49" s="3">
        <v>0</v>
      </c>
      <c r="G49" s="4">
        <v>0</v>
      </c>
    </row>
    <row r="50" spans="1:7">
      <c r="A50" s="3" t="s">
        <v>574</v>
      </c>
      <c r="B50" s="5">
        <v>46284</v>
      </c>
      <c r="C50" s="3">
        <v>3430</v>
      </c>
      <c r="D50" s="3">
        <v>70</v>
      </c>
      <c r="E50" s="4">
        <v>65.09999999999999</v>
      </c>
      <c r="F50" s="3">
        <v>2</v>
      </c>
      <c r="G50" s="4">
        <v>68</v>
      </c>
    </row>
    <row r="51" spans="1:7">
      <c r="A51" s="3" t="s">
        <v>574</v>
      </c>
      <c r="B51" s="5">
        <v>46285</v>
      </c>
      <c r="C51" s="3">
        <v>350</v>
      </c>
      <c r="D51" s="3">
        <v>14</v>
      </c>
      <c r="E51" s="4">
        <v>12.88</v>
      </c>
      <c r="F51" s="3">
        <v>0</v>
      </c>
      <c r="G51" s="4">
        <v>0</v>
      </c>
    </row>
    <row r="52" spans="1:7">
      <c r="A52" s="3" t="s">
        <v>574</v>
      </c>
      <c r="B52" s="5">
        <v>46286</v>
      </c>
      <c r="C52" s="3">
        <v>660</v>
      </c>
      <c r="D52" s="3">
        <v>30</v>
      </c>
      <c r="E52" s="4">
        <v>22.2</v>
      </c>
      <c r="F52" s="3">
        <v>5</v>
      </c>
      <c r="G52" s="4">
        <v>170</v>
      </c>
    </row>
    <row r="53" spans="1:7">
      <c r="A53" s="3" t="s">
        <v>574</v>
      </c>
      <c r="B53" s="5">
        <v>46287</v>
      </c>
      <c r="C53" s="3">
        <v>1376</v>
      </c>
      <c r="D53" s="3">
        <v>43</v>
      </c>
      <c r="E53" s="4">
        <v>67.08</v>
      </c>
      <c r="F53" s="3">
        <v>3</v>
      </c>
      <c r="G53" s="4">
        <v>102</v>
      </c>
    </row>
    <row r="54" spans="1:7">
      <c r="A54" s="3" t="s">
        <v>574</v>
      </c>
      <c r="B54" s="5">
        <v>46288</v>
      </c>
      <c r="C54" s="3">
        <v>2842</v>
      </c>
      <c r="D54" s="3">
        <v>58</v>
      </c>
      <c r="E54" s="4">
        <v>67.28</v>
      </c>
      <c r="F54" s="3">
        <v>3</v>
      </c>
      <c r="G54" s="4">
        <v>102</v>
      </c>
    </row>
    <row r="55" spans="1:7">
      <c r="A55" s="3" t="s">
        <v>574</v>
      </c>
      <c r="B55" s="5">
        <v>46289</v>
      </c>
      <c r="C55" s="3">
        <v>1924</v>
      </c>
      <c r="D55" s="3">
        <v>74</v>
      </c>
      <c r="E55" s="4">
        <v>122.84</v>
      </c>
      <c r="F55" s="3">
        <v>0</v>
      </c>
      <c r="G55" s="4">
        <v>0</v>
      </c>
    </row>
    <row r="56" spans="1:7">
      <c r="A56" s="3" t="s">
        <v>574</v>
      </c>
      <c r="B56" s="5">
        <v>46290</v>
      </c>
      <c r="C56" s="3">
        <v>1400</v>
      </c>
      <c r="D56" s="3">
        <v>50</v>
      </c>
      <c r="E56" s="4">
        <v>85</v>
      </c>
      <c r="F56" s="3">
        <v>5</v>
      </c>
      <c r="G56" s="4">
        <v>170</v>
      </c>
    </row>
    <row r="57" spans="1:7">
      <c r="A57" s="3" t="s">
        <v>574</v>
      </c>
      <c r="B57" s="5">
        <v>46291</v>
      </c>
      <c r="C57" s="3">
        <v>3320</v>
      </c>
      <c r="D57" s="3">
        <v>83</v>
      </c>
      <c r="E57" s="4">
        <v>131.97</v>
      </c>
      <c r="F57" s="3">
        <v>0</v>
      </c>
      <c r="G57" s="4">
        <v>0</v>
      </c>
    </row>
    <row r="58" spans="1:7">
      <c r="A58" s="3" t="s">
        <v>574</v>
      </c>
      <c r="B58" s="5">
        <v>46292</v>
      </c>
      <c r="C58" s="3">
        <v>1540</v>
      </c>
      <c r="D58" s="3">
        <v>35</v>
      </c>
      <c r="E58" s="4">
        <v>40.25</v>
      </c>
      <c r="F58" s="3">
        <v>3</v>
      </c>
      <c r="G58" s="4">
        <v>102</v>
      </c>
    </row>
    <row r="59" spans="1:7">
      <c r="A59" s="3" t="s">
        <v>574</v>
      </c>
      <c r="B59" s="5">
        <v>46293</v>
      </c>
      <c r="C59" s="3">
        <v>1872</v>
      </c>
      <c r="D59" s="3">
        <v>52</v>
      </c>
      <c r="E59" s="4">
        <v>75.40000000000001</v>
      </c>
      <c r="F59" s="3">
        <v>5</v>
      </c>
      <c r="G59" s="4">
        <v>170</v>
      </c>
    </row>
    <row r="60" spans="1:7">
      <c r="A60" s="3" t="s">
        <v>574</v>
      </c>
      <c r="B60" s="5">
        <v>46294</v>
      </c>
      <c r="C60" s="3">
        <v>1775</v>
      </c>
      <c r="D60" s="3">
        <v>71</v>
      </c>
      <c r="E60" s="4">
        <v>56.8</v>
      </c>
      <c r="F60" s="3">
        <v>0</v>
      </c>
      <c r="G60" s="4">
        <v>0</v>
      </c>
    </row>
    <row r="61" spans="1:7">
      <c r="A61" s="3" t="s">
        <v>574</v>
      </c>
      <c r="B61" s="5">
        <v>46295</v>
      </c>
      <c r="C61" s="3">
        <v>2160</v>
      </c>
      <c r="D61" s="3">
        <v>54</v>
      </c>
      <c r="E61" s="4">
        <v>52.38</v>
      </c>
      <c r="F61" s="3">
        <v>1</v>
      </c>
      <c r="G61" s="4">
        <v>34</v>
      </c>
    </row>
    <row r="62" spans="1:7">
      <c r="A62" s="3" t="s">
        <v>575</v>
      </c>
      <c r="B62" s="5">
        <v>46266</v>
      </c>
      <c r="C62" s="3">
        <v>559</v>
      </c>
      <c r="D62" s="3">
        <v>13</v>
      </c>
      <c r="E62" s="4">
        <v>17.16</v>
      </c>
      <c r="F62" s="3">
        <v>5</v>
      </c>
      <c r="G62" s="4">
        <v>45</v>
      </c>
    </row>
    <row r="63" spans="1:7">
      <c r="A63" s="3" t="s">
        <v>575</v>
      </c>
      <c r="B63" s="5">
        <v>46267</v>
      </c>
      <c r="C63" s="3">
        <v>1140</v>
      </c>
      <c r="D63" s="3">
        <v>30</v>
      </c>
      <c r="E63" s="4">
        <v>22.8</v>
      </c>
      <c r="F63" s="3">
        <v>2</v>
      </c>
      <c r="G63" s="4">
        <v>18</v>
      </c>
    </row>
    <row r="64" spans="1:7">
      <c r="A64" s="3" t="s">
        <v>575</v>
      </c>
      <c r="B64" s="5">
        <v>46268</v>
      </c>
      <c r="C64" s="3">
        <v>667</v>
      </c>
      <c r="D64" s="3">
        <v>23</v>
      </c>
      <c r="E64" s="4">
        <v>21.85</v>
      </c>
      <c r="F64" s="3">
        <v>2</v>
      </c>
      <c r="G64" s="4">
        <v>18</v>
      </c>
    </row>
    <row r="65" spans="1:7">
      <c r="A65" s="3" t="s">
        <v>575</v>
      </c>
      <c r="B65" s="5">
        <v>46269</v>
      </c>
      <c r="C65" s="3">
        <v>665</v>
      </c>
      <c r="D65" s="3">
        <v>19</v>
      </c>
      <c r="E65" s="4">
        <v>22.04</v>
      </c>
      <c r="F65" s="3">
        <v>4</v>
      </c>
      <c r="G65" s="4">
        <v>36</v>
      </c>
    </row>
    <row r="66" spans="1:7">
      <c r="A66" s="3" t="s">
        <v>575</v>
      </c>
      <c r="B66" s="5">
        <v>46270</v>
      </c>
      <c r="C66" s="3">
        <v>2772</v>
      </c>
      <c r="D66" s="3">
        <v>84</v>
      </c>
      <c r="E66" s="4">
        <v>78.12</v>
      </c>
      <c r="F66" s="3">
        <v>1</v>
      </c>
      <c r="G66" s="4">
        <v>9</v>
      </c>
    </row>
    <row r="67" spans="1:7">
      <c r="A67" s="3" t="s">
        <v>575</v>
      </c>
      <c r="B67" s="5">
        <v>46271</v>
      </c>
      <c r="C67" s="3">
        <v>2430</v>
      </c>
      <c r="D67" s="3">
        <v>81</v>
      </c>
      <c r="E67" s="4">
        <v>69.66</v>
      </c>
      <c r="F67" s="3">
        <v>3</v>
      </c>
      <c r="G67" s="4">
        <v>27</v>
      </c>
    </row>
    <row r="68" spans="1:7">
      <c r="A68" s="3" t="s">
        <v>575</v>
      </c>
      <c r="B68" s="5">
        <v>46272</v>
      </c>
      <c r="C68" s="3">
        <v>450</v>
      </c>
      <c r="D68" s="3">
        <v>18</v>
      </c>
      <c r="E68" s="4">
        <v>12.42</v>
      </c>
      <c r="F68" s="3">
        <v>0</v>
      </c>
      <c r="G68" s="4">
        <v>0</v>
      </c>
    </row>
    <row r="69" spans="1:7">
      <c r="A69" s="3" t="s">
        <v>575</v>
      </c>
      <c r="B69" s="5">
        <v>46273</v>
      </c>
      <c r="C69" s="3">
        <v>2132</v>
      </c>
      <c r="D69" s="3">
        <v>52</v>
      </c>
      <c r="E69" s="4">
        <v>46.8</v>
      </c>
      <c r="F69" s="3">
        <v>1</v>
      </c>
      <c r="G69" s="4">
        <v>9</v>
      </c>
    </row>
    <row r="70" spans="1:7">
      <c r="A70" s="3" t="s">
        <v>575</v>
      </c>
      <c r="B70" s="5">
        <v>46274</v>
      </c>
      <c r="C70" s="3">
        <v>962</v>
      </c>
      <c r="D70" s="3">
        <v>26</v>
      </c>
      <c r="E70" s="4">
        <v>31.2</v>
      </c>
      <c r="F70" s="3">
        <v>5</v>
      </c>
      <c r="G70" s="4">
        <v>45</v>
      </c>
    </row>
    <row r="71" spans="1:7">
      <c r="A71" s="3" t="s">
        <v>575</v>
      </c>
      <c r="B71" s="5">
        <v>46275</v>
      </c>
      <c r="C71" s="3">
        <v>2640</v>
      </c>
      <c r="D71" s="3">
        <v>55</v>
      </c>
      <c r="E71" s="4">
        <v>57.2</v>
      </c>
      <c r="F71" s="3">
        <v>3</v>
      </c>
      <c r="G71" s="4">
        <v>27</v>
      </c>
    </row>
    <row r="72" spans="1:7">
      <c r="A72" s="3" t="s">
        <v>575</v>
      </c>
      <c r="B72" s="5">
        <v>46276</v>
      </c>
      <c r="C72" s="3">
        <v>2618</v>
      </c>
      <c r="D72" s="3">
        <v>77</v>
      </c>
      <c r="E72" s="4">
        <v>135.52</v>
      </c>
      <c r="F72" s="3">
        <v>4</v>
      </c>
      <c r="G72" s="4">
        <v>36</v>
      </c>
    </row>
    <row r="73" spans="1:7">
      <c r="A73" s="3" t="s">
        <v>575</v>
      </c>
      <c r="B73" s="5">
        <v>46277</v>
      </c>
      <c r="C73" s="3">
        <v>1920</v>
      </c>
      <c r="D73" s="3">
        <v>60</v>
      </c>
      <c r="E73" s="4">
        <v>102</v>
      </c>
      <c r="F73" s="3">
        <v>4</v>
      </c>
      <c r="G73" s="4">
        <v>36</v>
      </c>
    </row>
    <row r="74" spans="1:7">
      <c r="A74" s="3" t="s">
        <v>575</v>
      </c>
      <c r="B74" s="5">
        <v>46278</v>
      </c>
      <c r="C74" s="3">
        <v>820</v>
      </c>
      <c r="D74" s="3">
        <v>41</v>
      </c>
      <c r="E74" s="4">
        <v>54.53</v>
      </c>
      <c r="F74" s="3">
        <v>5</v>
      </c>
      <c r="G74" s="4">
        <v>45</v>
      </c>
    </row>
    <row r="75" spans="1:7">
      <c r="A75" s="3" t="s">
        <v>575</v>
      </c>
      <c r="B75" s="5">
        <v>46279</v>
      </c>
      <c r="C75" s="3">
        <v>476</v>
      </c>
      <c r="D75" s="3">
        <v>14</v>
      </c>
      <c r="E75" s="4">
        <v>16.24</v>
      </c>
      <c r="F75" s="3">
        <v>1</v>
      </c>
      <c r="G75" s="4">
        <v>9</v>
      </c>
    </row>
    <row r="76" spans="1:7">
      <c r="A76" s="3" t="s">
        <v>575</v>
      </c>
      <c r="B76" s="5">
        <v>46280</v>
      </c>
      <c r="C76" s="3">
        <v>540</v>
      </c>
      <c r="D76" s="3">
        <v>20</v>
      </c>
      <c r="E76" s="4">
        <v>14.8</v>
      </c>
      <c r="F76" s="3">
        <v>0</v>
      </c>
      <c r="G76" s="4">
        <v>0</v>
      </c>
    </row>
    <row r="77" spans="1:7">
      <c r="A77" s="3" t="s">
        <v>575</v>
      </c>
      <c r="B77" s="5">
        <v>46281</v>
      </c>
      <c r="C77" s="3">
        <v>1512</v>
      </c>
      <c r="D77" s="3">
        <v>36</v>
      </c>
      <c r="E77" s="4">
        <v>21.6</v>
      </c>
      <c r="F77" s="3">
        <v>3</v>
      </c>
      <c r="G77" s="4">
        <v>27</v>
      </c>
    </row>
    <row r="78" spans="1:7">
      <c r="A78" s="3" t="s">
        <v>575</v>
      </c>
      <c r="B78" s="5">
        <v>46282</v>
      </c>
      <c r="C78" s="3">
        <v>3700</v>
      </c>
      <c r="D78" s="3">
        <v>74</v>
      </c>
      <c r="E78" s="4">
        <v>93.98</v>
      </c>
      <c r="F78" s="3">
        <v>2</v>
      </c>
      <c r="G78" s="4">
        <v>18</v>
      </c>
    </row>
    <row r="79" spans="1:7">
      <c r="A79" s="3" t="s">
        <v>575</v>
      </c>
      <c r="B79" s="5">
        <v>46283</v>
      </c>
      <c r="C79" s="3">
        <v>1595</v>
      </c>
      <c r="D79" s="3">
        <v>55</v>
      </c>
      <c r="E79" s="4">
        <v>62.7</v>
      </c>
      <c r="F79" s="3">
        <v>1</v>
      </c>
      <c r="G79" s="4">
        <v>9</v>
      </c>
    </row>
    <row r="80" spans="1:7">
      <c r="A80" s="3" t="s">
        <v>575</v>
      </c>
      <c r="B80" s="5">
        <v>46284</v>
      </c>
      <c r="C80" s="3">
        <v>1980</v>
      </c>
      <c r="D80" s="3">
        <v>45</v>
      </c>
      <c r="E80" s="4">
        <v>35.55</v>
      </c>
      <c r="F80" s="3">
        <v>1</v>
      </c>
      <c r="G80" s="4">
        <v>9</v>
      </c>
    </row>
    <row r="81" spans="1:7">
      <c r="A81" s="3" t="s">
        <v>575</v>
      </c>
      <c r="B81" s="5">
        <v>46285</v>
      </c>
      <c r="C81" s="3">
        <v>2730</v>
      </c>
      <c r="D81" s="3">
        <v>78</v>
      </c>
      <c r="E81" s="4">
        <v>62.4</v>
      </c>
      <c r="F81" s="3">
        <v>1</v>
      </c>
      <c r="G81" s="4">
        <v>9</v>
      </c>
    </row>
    <row r="82" spans="1:7">
      <c r="A82" s="3" t="s">
        <v>575</v>
      </c>
      <c r="B82" s="5">
        <v>46286</v>
      </c>
      <c r="C82" s="3">
        <v>1674</v>
      </c>
      <c r="D82" s="3">
        <v>54</v>
      </c>
      <c r="E82" s="4">
        <v>59.4</v>
      </c>
      <c r="F82" s="3">
        <v>2</v>
      </c>
      <c r="G82" s="4">
        <v>18</v>
      </c>
    </row>
    <row r="83" spans="1:7">
      <c r="A83" s="3" t="s">
        <v>575</v>
      </c>
      <c r="B83" s="5">
        <v>46287</v>
      </c>
      <c r="C83" s="3">
        <v>1258</v>
      </c>
      <c r="D83" s="3">
        <v>34</v>
      </c>
      <c r="E83" s="4">
        <v>53.04</v>
      </c>
      <c r="F83" s="3">
        <v>2</v>
      </c>
      <c r="G83" s="4">
        <v>18</v>
      </c>
    </row>
    <row r="84" spans="1:7">
      <c r="A84" s="3" t="s">
        <v>575</v>
      </c>
      <c r="B84" s="5">
        <v>46288</v>
      </c>
      <c r="C84" s="3">
        <v>1958</v>
      </c>
      <c r="D84" s="3">
        <v>89</v>
      </c>
      <c r="E84" s="4">
        <v>101.46</v>
      </c>
      <c r="F84" s="3">
        <v>3</v>
      </c>
      <c r="G84" s="4">
        <v>27</v>
      </c>
    </row>
    <row r="85" spans="1:7">
      <c r="A85" s="3" t="s">
        <v>575</v>
      </c>
      <c r="B85" s="5">
        <v>46289</v>
      </c>
      <c r="C85" s="3">
        <v>720</v>
      </c>
      <c r="D85" s="3">
        <v>16</v>
      </c>
      <c r="E85" s="4">
        <v>24.16</v>
      </c>
      <c r="F85" s="3">
        <v>2</v>
      </c>
      <c r="G85" s="4">
        <v>18</v>
      </c>
    </row>
    <row r="86" spans="1:7">
      <c r="A86" s="3" t="s">
        <v>575</v>
      </c>
      <c r="B86" s="5">
        <v>46290</v>
      </c>
      <c r="C86" s="3">
        <v>2162</v>
      </c>
      <c r="D86" s="3">
        <v>47</v>
      </c>
      <c r="E86" s="4">
        <v>53.11</v>
      </c>
      <c r="F86" s="3">
        <v>2</v>
      </c>
      <c r="G86" s="4">
        <v>18</v>
      </c>
    </row>
    <row r="87" spans="1:7">
      <c r="A87" s="3" t="s">
        <v>575</v>
      </c>
      <c r="B87" s="5">
        <v>46291</v>
      </c>
      <c r="C87" s="3">
        <v>768</v>
      </c>
      <c r="D87" s="3">
        <v>16</v>
      </c>
      <c r="E87" s="4">
        <v>12</v>
      </c>
      <c r="F87" s="3">
        <v>5</v>
      </c>
      <c r="G87" s="4">
        <v>45</v>
      </c>
    </row>
    <row r="88" spans="1:7">
      <c r="A88" s="3" t="s">
        <v>575</v>
      </c>
      <c r="B88" s="5">
        <v>46292</v>
      </c>
      <c r="C88" s="3">
        <v>704</v>
      </c>
      <c r="D88" s="3">
        <v>32</v>
      </c>
      <c r="E88" s="4">
        <v>27.2</v>
      </c>
      <c r="F88" s="3">
        <v>0</v>
      </c>
      <c r="G88" s="4">
        <v>0</v>
      </c>
    </row>
    <row r="89" spans="1:7">
      <c r="A89" s="3" t="s">
        <v>575</v>
      </c>
      <c r="B89" s="5">
        <v>46293</v>
      </c>
      <c r="C89" s="3">
        <v>2352</v>
      </c>
      <c r="D89" s="3">
        <v>56</v>
      </c>
      <c r="E89" s="4">
        <v>81.2</v>
      </c>
      <c r="F89" s="3">
        <v>5</v>
      </c>
      <c r="G89" s="4">
        <v>45</v>
      </c>
    </row>
    <row r="90" spans="1:7">
      <c r="A90" s="3" t="s">
        <v>575</v>
      </c>
      <c r="B90" s="5">
        <v>46294</v>
      </c>
      <c r="C90" s="3">
        <v>1216</v>
      </c>
      <c r="D90" s="3">
        <v>38</v>
      </c>
      <c r="E90" s="4">
        <v>42.56</v>
      </c>
      <c r="F90" s="3">
        <v>3</v>
      </c>
      <c r="G90" s="4">
        <v>27</v>
      </c>
    </row>
    <row r="91" spans="1:7">
      <c r="A91" s="3" t="s">
        <v>575</v>
      </c>
      <c r="B91" s="5">
        <v>46295</v>
      </c>
      <c r="C91" s="3">
        <v>2538</v>
      </c>
      <c r="D91" s="3">
        <v>54</v>
      </c>
      <c r="E91" s="4">
        <v>92.34</v>
      </c>
      <c r="F91" s="3">
        <v>2</v>
      </c>
      <c r="G91" s="4">
        <v>18</v>
      </c>
    </row>
    <row r="92" spans="1:7">
      <c r="A92" s="3" t="s">
        <v>576</v>
      </c>
      <c r="B92" s="5">
        <v>46266</v>
      </c>
      <c r="C92" s="3">
        <v>900</v>
      </c>
      <c r="D92" s="3">
        <v>45</v>
      </c>
      <c r="E92" s="4">
        <v>30.6</v>
      </c>
      <c r="F92" s="3">
        <v>3</v>
      </c>
      <c r="G92" s="4">
        <v>2826</v>
      </c>
    </row>
    <row r="93" spans="1:7">
      <c r="A93" s="3" t="s">
        <v>576</v>
      </c>
      <c r="B93" s="5">
        <v>46267</v>
      </c>
      <c r="C93" s="3">
        <v>2130</v>
      </c>
      <c r="D93" s="3">
        <v>71</v>
      </c>
      <c r="E93" s="4">
        <v>106.5</v>
      </c>
      <c r="F93" s="3">
        <v>5</v>
      </c>
      <c r="G93" s="4">
        <v>4710</v>
      </c>
    </row>
    <row r="94" spans="1:7">
      <c r="A94" s="3" t="s">
        <v>576</v>
      </c>
      <c r="B94" s="5">
        <v>46268</v>
      </c>
      <c r="C94" s="3">
        <v>1075</v>
      </c>
      <c r="D94" s="3">
        <v>43</v>
      </c>
      <c r="E94" s="4">
        <v>75.68000000000001</v>
      </c>
      <c r="F94" s="3">
        <v>3</v>
      </c>
      <c r="G94" s="4">
        <v>2826</v>
      </c>
    </row>
    <row r="95" spans="1:7">
      <c r="A95" s="3" t="s">
        <v>576</v>
      </c>
      <c r="B95" s="5">
        <v>46269</v>
      </c>
      <c r="C95" s="3">
        <v>1320</v>
      </c>
      <c r="D95" s="3">
        <v>44</v>
      </c>
      <c r="E95" s="4">
        <v>53.24</v>
      </c>
      <c r="F95" s="3">
        <v>3</v>
      </c>
      <c r="G95" s="4">
        <v>2826</v>
      </c>
    </row>
    <row r="96" spans="1:7">
      <c r="A96" s="3" t="s">
        <v>576</v>
      </c>
      <c r="B96" s="5">
        <v>46270</v>
      </c>
      <c r="C96" s="3">
        <v>3483</v>
      </c>
      <c r="D96" s="3">
        <v>81</v>
      </c>
      <c r="E96" s="4">
        <v>57.51</v>
      </c>
      <c r="F96" s="3">
        <v>2</v>
      </c>
      <c r="G96" s="4">
        <v>1884</v>
      </c>
    </row>
    <row r="97" spans="1:7">
      <c r="A97" s="3" t="s">
        <v>576</v>
      </c>
      <c r="B97" s="5">
        <v>46271</v>
      </c>
      <c r="C97" s="3">
        <v>2091</v>
      </c>
      <c r="D97" s="3">
        <v>51</v>
      </c>
      <c r="E97" s="4">
        <v>85.68000000000001</v>
      </c>
      <c r="F97" s="3">
        <v>3</v>
      </c>
      <c r="G97" s="4">
        <v>2826</v>
      </c>
    </row>
    <row r="98" spans="1:7">
      <c r="A98" s="3" t="s">
        <v>576</v>
      </c>
      <c r="B98" s="5">
        <v>46272</v>
      </c>
      <c r="C98" s="3">
        <v>2960</v>
      </c>
      <c r="D98" s="3">
        <v>80</v>
      </c>
      <c r="E98" s="4">
        <v>103.2</v>
      </c>
      <c r="F98" s="3">
        <v>2</v>
      </c>
      <c r="G98" s="4">
        <v>1884</v>
      </c>
    </row>
    <row r="99" spans="1:7">
      <c r="A99" s="3" t="s">
        <v>576</v>
      </c>
      <c r="B99" s="5">
        <v>46273</v>
      </c>
      <c r="C99" s="3">
        <v>810</v>
      </c>
      <c r="D99" s="3">
        <v>30</v>
      </c>
      <c r="E99" s="4">
        <v>19.2</v>
      </c>
      <c r="F99" s="3">
        <v>1</v>
      </c>
      <c r="G99" s="4">
        <v>942</v>
      </c>
    </row>
    <row r="100" spans="1:7">
      <c r="A100" s="3" t="s">
        <v>576</v>
      </c>
      <c r="B100" s="5">
        <v>46274</v>
      </c>
      <c r="C100" s="3">
        <v>3920</v>
      </c>
      <c r="D100" s="3">
        <v>80</v>
      </c>
      <c r="E100" s="4">
        <v>120.8</v>
      </c>
      <c r="F100" s="3">
        <v>1</v>
      </c>
      <c r="G100" s="4">
        <v>942</v>
      </c>
    </row>
    <row r="101" spans="1:7">
      <c r="A101" s="3" t="s">
        <v>576</v>
      </c>
      <c r="B101" s="5">
        <v>46275</v>
      </c>
      <c r="C101" s="3">
        <v>666</v>
      </c>
      <c r="D101" s="3">
        <v>18</v>
      </c>
      <c r="E101" s="4">
        <v>13.32</v>
      </c>
      <c r="F101" s="3">
        <v>4</v>
      </c>
      <c r="G101" s="4">
        <v>3768</v>
      </c>
    </row>
    <row r="102" spans="1:7">
      <c r="A102" s="3" t="s">
        <v>576</v>
      </c>
      <c r="B102" s="5">
        <v>46276</v>
      </c>
      <c r="C102" s="3">
        <v>2538</v>
      </c>
      <c r="D102" s="3">
        <v>54</v>
      </c>
      <c r="E102" s="4">
        <v>33.48</v>
      </c>
      <c r="F102" s="3">
        <v>5</v>
      </c>
      <c r="G102" s="4">
        <v>4710</v>
      </c>
    </row>
    <row r="103" spans="1:7">
      <c r="A103" s="3" t="s">
        <v>576</v>
      </c>
      <c r="B103" s="5">
        <v>46277</v>
      </c>
      <c r="C103" s="3">
        <v>1200</v>
      </c>
      <c r="D103" s="3">
        <v>40</v>
      </c>
      <c r="E103" s="4">
        <v>47.2</v>
      </c>
      <c r="F103" s="3">
        <v>4</v>
      </c>
      <c r="G103" s="4">
        <v>3768</v>
      </c>
    </row>
    <row r="104" spans="1:7">
      <c r="A104" s="3" t="s">
        <v>576</v>
      </c>
      <c r="B104" s="5">
        <v>46278</v>
      </c>
      <c r="C104" s="3">
        <v>2001</v>
      </c>
      <c r="D104" s="3">
        <v>87</v>
      </c>
      <c r="E104" s="4">
        <v>120.06</v>
      </c>
      <c r="F104" s="3">
        <v>4</v>
      </c>
      <c r="G104" s="4">
        <v>3768</v>
      </c>
    </row>
    <row r="105" spans="1:7">
      <c r="A105" s="3" t="s">
        <v>576</v>
      </c>
      <c r="B105" s="5">
        <v>46279</v>
      </c>
      <c r="C105" s="3">
        <v>2790</v>
      </c>
      <c r="D105" s="3">
        <v>90</v>
      </c>
      <c r="E105" s="4">
        <v>59.4</v>
      </c>
      <c r="F105" s="3">
        <v>1</v>
      </c>
      <c r="G105" s="4">
        <v>942</v>
      </c>
    </row>
    <row r="106" spans="1:7">
      <c r="A106" s="3" t="s">
        <v>576</v>
      </c>
      <c r="B106" s="5">
        <v>46280</v>
      </c>
      <c r="C106" s="3">
        <v>782</v>
      </c>
      <c r="D106" s="3">
        <v>34</v>
      </c>
      <c r="E106" s="4">
        <v>44.54</v>
      </c>
      <c r="F106" s="3">
        <v>3</v>
      </c>
      <c r="G106" s="4">
        <v>2826</v>
      </c>
    </row>
    <row r="107" spans="1:7">
      <c r="A107" s="3" t="s">
        <v>576</v>
      </c>
      <c r="B107" s="5">
        <v>46281</v>
      </c>
      <c r="C107" s="3">
        <v>2240</v>
      </c>
      <c r="D107" s="3">
        <v>56</v>
      </c>
      <c r="E107" s="4">
        <v>89.04000000000001</v>
      </c>
      <c r="F107" s="3">
        <v>3</v>
      </c>
      <c r="G107" s="4">
        <v>2826</v>
      </c>
    </row>
    <row r="108" spans="1:7">
      <c r="A108" s="3" t="s">
        <v>576</v>
      </c>
      <c r="B108" s="5">
        <v>46282</v>
      </c>
      <c r="C108" s="3">
        <v>2201</v>
      </c>
      <c r="D108" s="3">
        <v>71</v>
      </c>
      <c r="E108" s="4">
        <v>95.14</v>
      </c>
      <c r="F108" s="3">
        <v>2</v>
      </c>
      <c r="G108" s="4">
        <v>1884</v>
      </c>
    </row>
    <row r="109" spans="1:7">
      <c r="A109" s="3" t="s">
        <v>576</v>
      </c>
      <c r="B109" s="5">
        <v>46283</v>
      </c>
      <c r="C109" s="3">
        <v>1944</v>
      </c>
      <c r="D109" s="3">
        <v>72</v>
      </c>
      <c r="E109" s="4">
        <v>121.68</v>
      </c>
      <c r="F109" s="3">
        <v>4</v>
      </c>
      <c r="G109" s="4">
        <v>3768</v>
      </c>
    </row>
    <row r="110" spans="1:7">
      <c r="A110" s="3" t="s">
        <v>576</v>
      </c>
      <c r="B110" s="5">
        <v>46284</v>
      </c>
      <c r="C110" s="3">
        <v>3480</v>
      </c>
      <c r="D110" s="3">
        <v>87</v>
      </c>
      <c r="E110" s="4">
        <v>64.38</v>
      </c>
      <c r="F110" s="3">
        <v>0</v>
      </c>
      <c r="G110" s="4">
        <v>0</v>
      </c>
    </row>
    <row r="111" spans="1:7">
      <c r="A111" s="3" t="s">
        <v>576</v>
      </c>
      <c r="B111" s="5">
        <v>46285</v>
      </c>
      <c r="C111" s="3">
        <v>2100</v>
      </c>
      <c r="D111" s="3">
        <v>84</v>
      </c>
      <c r="E111" s="4">
        <v>109.2</v>
      </c>
      <c r="F111" s="3">
        <v>1</v>
      </c>
      <c r="G111" s="4">
        <v>942</v>
      </c>
    </row>
    <row r="112" spans="1:7">
      <c r="A112" s="3" t="s">
        <v>576</v>
      </c>
      <c r="B112" s="5">
        <v>46286</v>
      </c>
      <c r="C112" s="3">
        <v>756</v>
      </c>
      <c r="D112" s="3">
        <v>27</v>
      </c>
      <c r="E112" s="4">
        <v>24.57</v>
      </c>
      <c r="F112" s="3">
        <v>2</v>
      </c>
      <c r="G112" s="4">
        <v>1884</v>
      </c>
    </row>
    <row r="113" spans="1:7">
      <c r="A113" s="3" t="s">
        <v>576</v>
      </c>
      <c r="B113" s="5">
        <v>46287</v>
      </c>
      <c r="C113" s="3">
        <v>1296</v>
      </c>
      <c r="D113" s="3">
        <v>54</v>
      </c>
      <c r="E113" s="4">
        <v>78.84</v>
      </c>
      <c r="F113" s="3">
        <v>5</v>
      </c>
      <c r="G113" s="4">
        <v>4710</v>
      </c>
    </row>
    <row r="114" spans="1:7">
      <c r="A114" s="3" t="s">
        <v>576</v>
      </c>
      <c r="B114" s="5">
        <v>46288</v>
      </c>
      <c r="C114" s="3">
        <v>552</v>
      </c>
      <c r="D114" s="3">
        <v>23</v>
      </c>
      <c r="E114" s="4">
        <v>36.34</v>
      </c>
      <c r="F114" s="3">
        <v>1</v>
      </c>
      <c r="G114" s="4">
        <v>942</v>
      </c>
    </row>
    <row r="115" spans="1:7">
      <c r="A115" s="3" t="s">
        <v>576</v>
      </c>
      <c r="B115" s="5">
        <v>46289</v>
      </c>
      <c r="C115" s="3">
        <v>1880</v>
      </c>
      <c r="D115" s="3">
        <v>47</v>
      </c>
      <c r="E115" s="4">
        <v>69.56</v>
      </c>
      <c r="F115" s="3">
        <v>4</v>
      </c>
      <c r="G115" s="4">
        <v>3768</v>
      </c>
    </row>
    <row r="116" spans="1:7">
      <c r="A116" s="3" t="s">
        <v>576</v>
      </c>
      <c r="B116" s="5">
        <v>46290</v>
      </c>
      <c r="C116" s="3">
        <v>1443</v>
      </c>
      <c r="D116" s="3">
        <v>39</v>
      </c>
      <c r="E116" s="4">
        <v>60.84</v>
      </c>
      <c r="F116" s="3">
        <v>3</v>
      </c>
      <c r="G116" s="4">
        <v>2826</v>
      </c>
    </row>
    <row r="117" spans="1:7">
      <c r="A117" s="3" t="s">
        <v>576</v>
      </c>
      <c r="B117" s="5">
        <v>46291</v>
      </c>
      <c r="C117" s="3">
        <v>900</v>
      </c>
      <c r="D117" s="3">
        <v>45</v>
      </c>
      <c r="E117" s="4">
        <v>75.59999999999999</v>
      </c>
      <c r="F117" s="3">
        <v>5</v>
      </c>
      <c r="G117" s="4">
        <v>4710</v>
      </c>
    </row>
    <row r="118" spans="1:7">
      <c r="A118" s="3" t="s">
        <v>576</v>
      </c>
      <c r="B118" s="5">
        <v>46292</v>
      </c>
      <c r="C118" s="3">
        <v>2376</v>
      </c>
      <c r="D118" s="3">
        <v>88</v>
      </c>
      <c r="E118" s="4">
        <v>83.59999999999999</v>
      </c>
      <c r="F118" s="3">
        <v>2</v>
      </c>
      <c r="G118" s="4">
        <v>1884</v>
      </c>
    </row>
    <row r="119" spans="1:7">
      <c r="A119" s="3" t="s">
        <v>576</v>
      </c>
      <c r="B119" s="5">
        <v>46293</v>
      </c>
      <c r="C119" s="3">
        <v>3870</v>
      </c>
      <c r="D119" s="3">
        <v>90</v>
      </c>
      <c r="E119" s="4">
        <v>76.5</v>
      </c>
      <c r="F119" s="3">
        <v>0</v>
      </c>
      <c r="G119" s="4">
        <v>0</v>
      </c>
    </row>
    <row r="120" spans="1:7">
      <c r="A120" s="3" t="s">
        <v>576</v>
      </c>
      <c r="B120" s="5">
        <v>46294</v>
      </c>
      <c r="C120" s="3">
        <v>936</v>
      </c>
      <c r="D120" s="3">
        <v>24</v>
      </c>
      <c r="E120" s="4">
        <v>40.08</v>
      </c>
      <c r="F120" s="3">
        <v>4</v>
      </c>
      <c r="G120" s="4">
        <v>3768</v>
      </c>
    </row>
    <row r="121" spans="1:7">
      <c r="A121" s="3" t="s">
        <v>576</v>
      </c>
      <c r="B121" s="5">
        <v>46295</v>
      </c>
      <c r="C121" s="3">
        <v>432</v>
      </c>
      <c r="D121" s="3">
        <v>16</v>
      </c>
      <c r="E121" s="4">
        <v>10.24</v>
      </c>
      <c r="F121" s="3">
        <v>0</v>
      </c>
      <c r="G121" s="4">
        <v>0</v>
      </c>
    </row>
    <row r="122" spans="1:7">
      <c r="A122" s="3" t="s">
        <v>577</v>
      </c>
      <c r="B122" s="5">
        <v>46266</v>
      </c>
      <c r="C122" s="3">
        <v>1500</v>
      </c>
      <c r="D122" s="3">
        <v>60</v>
      </c>
      <c r="E122" s="4">
        <v>40.2</v>
      </c>
      <c r="F122" s="3">
        <v>2</v>
      </c>
      <c r="G122" s="4">
        <v>1634</v>
      </c>
    </row>
    <row r="123" spans="1:7">
      <c r="A123" s="3" t="s">
        <v>577</v>
      </c>
      <c r="B123" s="5">
        <v>46267</v>
      </c>
      <c r="C123" s="3">
        <v>896</v>
      </c>
      <c r="D123" s="3">
        <v>28</v>
      </c>
      <c r="E123" s="4">
        <v>18.48</v>
      </c>
      <c r="F123" s="3">
        <v>0</v>
      </c>
      <c r="G123" s="4">
        <v>0</v>
      </c>
    </row>
    <row r="124" spans="1:7">
      <c r="A124" s="3" t="s">
        <v>577</v>
      </c>
      <c r="B124" s="5">
        <v>46268</v>
      </c>
      <c r="C124" s="3">
        <v>1050</v>
      </c>
      <c r="D124" s="3">
        <v>21</v>
      </c>
      <c r="E124" s="4">
        <v>28.77</v>
      </c>
      <c r="F124" s="3">
        <v>0</v>
      </c>
      <c r="G124" s="4">
        <v>0</v>
      </c>
    </row>
    <row r="125" spans="1:7">
      <c r="A125" s="3" t="s">
        <v>577</v>
      </c>
      <c r="B125" s="5">
        <v>46269</v>
      </c>
      <c r="C125" s="3">
        <v>1204</v>
      </c>
      <c r="D125" s="3">
        <v>28</v>
      </c>
      <c r="E125" s="4">
        <v>34.44</v>
      </c>
      <c r="F125" s="3">
        <v>1</v>
      </c>
      <c r="G125" s="4">
        <v>817</v>
      </c>
    </row>
    <row r="126" spans="1:7">
      <c r="A126" s="3" t="s">
        <v>577</v>
      </c>
      <c r="B126" s="5">
        <v>46270</v>
      </c>
      <c r="C126" s="3">
        <v>616</v>
      </c>
      <c r="D126" s="3">
        <v>14</v>
      </c>
      <c r="E126" s="4">
        <v>18.2</v>
      </c>
      <c r="F126" s="3">
        <v>2</v>
      </c>
      <c r="G126" s="4">
        <v>1634</v>
      </c>
    </row>
    <row r="127" spans="1:7">
      <c r="A127" s="3" t="s">
        <v>577</v>
      </c>
      <c r="B127" s="5">
        <v>46271</v>
      </c>
      <c r="C127" s="3">
        <v>2343</v>
      </c>
      <c r="D127" s="3">
        <v>71</v>
      </c>
      <c r="E127" s="4">
        <v>82.36</v>
      </c>
      <c r="F127" s="3">
        <v>1</v>
      </c>
      <c r="G127" s="4">
        <v>817</v>
      </c>
    </row>
    <row r="128" spans="1:7">
      <c r="A128" s="3" t="s">
        <v>577</v>
      </c>
      <c r="B128" s="5">
        <v>46272</v>
      </c>
      <c r="C128" s="3">
        <v>1806</v>
      </c>
      <c r="D128" s="3">
        <v>42</v>
      </c>
      <c r="E128" s="4">
        <v>67.62</v>
      </c>
      <c r="F128" s="3">
        <v>4</v>
      </c>
      <c r="G128" s="4">
        <v>3268</v>
      </c>
    </row>
    <row r="129" spans="1:7">
      <c r="A129" s="3" t="s">
        <v>577</v>
      </c>
      <c r="B129" s="5">
        <v>46273</v>
      </c>
      <c r="C129" s="3">
        <v>378</v>
      </c>
      <c r="D129" s="3">
        <v>18</v>
      </c>
      <c r="E129" s="4">
        <v>18.36</v>
      </c>
      <c r="F129" s="3">
        <v>4</v>
      </c>
      <c r="G129" s="4">
        <v>3268</v>
      </c>
    </row>
    <row r="130" spans="1:7">
      <c r="A130" s="3" t="s">
        <v>577</v>
      </c>
      <c r="B130" s="5">
        <v>46274</v>
      </c>
      <c r="C130" s="3">
        <v>1015</v>
      </c>
      <c r="D130" s="3">
        <v>29</v>
      </c>
      <c r="E130" s="4">
        <v>20.88</v>
      </c>
      <c r="F130" s="3">
        <v>0</v>
      </c>
      <c r="G130" s="4">
        <v>0</v>
      </c>
    </row>
    <row r="131" spans="1:7">
      <c r="A131" s="3" t="s">
        <v>577</v>
      </c>
      <c r="B131" s="5">
        <v>46275</v>
      </c>
      <c r="C131" s="3">
        <v>3192</v>
      </c>
      <c r="D131" s="3">
        <v>76</v>
      </c>
      <c r="E131" s="4">
        <v>117.8</v>
      </c>
      <c r="F131" s="3">
        <v>4</v>
      </c>
      <c r="G131" s="4">
        <v>3268</v>
      </c>
    </row>
    <row r="132" spans="1:7">
      <c r="A132" s="3" t="s">
        <v>577</v>
      </c>
      <c r="B132" s="5">
        <v>46276</v>
      </c>
      <c r="C132" s="3">
        <v>2414</v>
      </c>
      <c r="D132" s="3">
        <v>71</v>
      </c>
      <c r="E132" s="4">
        <v>43.31</v>
      </c>
      <c r="F132" s="3">
        <v>0</v>
      </c>
      <c r="G132" s="4">
        <v>0</v>
      </c>
    </row>
    <row r="133" spans="1:7">
      <c r="A133" s="3" t="s">
        <v>577</v>
      </c>
      <c r="B133" s="5">
        <v>46277</v>
      </c>
      <c r="C133" s="3">
        <v>4165</v>
      </c>
      <c r="D133" s="3">
        <v>85</v>
      </c>
      <c r="E133" s="4">
        <v>73.95</v>
      </c>
      <c r="F133" s="3">
        <v>2</v>
      </c>
      <c r="G133" s="4">
        <v>1634</v>
      </c>
    </row>
    <row r="134" spans="1:7">
      <c r="A134" s="3" t="s">
        <v>577</v>
      </c>
      <c r="B134" s="5">
        <v>46278</v>
      </c>
      <c r="C134" s="3">
        <v>2680</v>
      </c>
      <c r="D134" s="3">
        <v>67</v>
      </c>
      <c r="E134" s="4">
        <v>103.18</v>
      </c>
      <c r="F134" s="3">
        <v>4</v>
      </c>
      <c r="G134" s="4">
        <v>3268</v>
      </c>
    </row>
    <row r="135" spans="1:7">
      <c r="A135" s="3" t="s">
        <v>577</v>
      </c>
      <c r="B135" s="5">
        <v>46279</v>
      </c>
      <c r="C135" s="3">
        <v>3600</v>
      </c>
      <c r="D135" s="3">
        <v>80</v>
      </c>
      <c r="E135" s="4">
        <v>124</v>
      </c>
      <c r="F135" s="3">
        <v>3</v>
      </c>
      <c r="G135" s="4">
        <v>2451</v>
      </c>
    </row>
    <row r="136" spans="1:7">
      <c r="A136" s="3" t="s">
        <v>577</v>
      </c>
      <c r="B136" s="5">
        <v>46280</v>
      </c>
      <c r="C136" s="3">
        <v>1845</v>
      </c>
      <c r="D136" s="3">
        <v>45</v>
      </c>
      <c r="E136" s="4">
        <v>44.55</v>
      </c>
      <c r="F136" s="3">
        <v>0</v>
      </c>
      <c r="G136" s="4">
        <v>0</v>
      </c>
    </row>
    <row r="137" spans="1:7">
      <c r="A137" s="3" t="s">
        <v>577</v>
      </c>
      <c r="B137" s="5">
        <v>46281</v>
      </c>
      <c r="C137" s="3">
        <v>748</v>
      </c>
      <c r="D137" s="3">
        <v>17</v>
      </c>
      <c r="E137" s="4">
        <v>17.51</v>
      </c>
      <c r="F137" s="3">
        <v>3</v>
      </c>
      <c r="G137" s="4">
        <v>2451</v>
      </c>
    </row>
    <row r="138" spans="1:7">
      <c r="A138" s="3" t="s">
        <v>577</v>
      </c>
      <c r="B138" s="5">
        <v>46282</v>
      </c>
      <c r="C138" s="3">
        <v>1736</v>
      </c>
      <c r="D138" s="3">
        <v>56</v>
      </c>
      <c r="E138" s="4">
        <v>39.76</v>
      </c>
      <c r="F138" s="3">
        <v>0</v>
      </c>
      <c r="G138" s="4">
        <v>0</v>
      </c>
    </row>
    <row r="139" spans="1:7">
      <c r="A139" s="3" t="s">
        <v>577</v>
      </c>
      <c r="B139" s="5">
        <v>46283</v>
      </c>
      <c r="C139" s="3">
        <v>1920</v>
      </c>
      <c r="D139" s="3">
        <v>48</v>
      </c>
      <c r="E139" s="4">
        <v>59.04</v>
      </c>
      <c r="F139" s="3">
        <v>5</v>
      </c>
      <c r="G139" s="4">
        <v>4085</v>
      </c>
    </row>
    <row r="140" spans="1:7">
      <c r="A140" s="3" t="s">
        <v>577</v>
      </c>
      <c r="B140" s="5">
        <v>46284</v>
      </c>
      <c r="C140" s="3">
        <v>945</v>
      </c>
      <c r="D140" s="3">
        <v>35</v>
      </c>
      <c r="E140" s="4">
        <v>57.4</v>
      </c>
      <c r="F140" s="3">
        <v>1</v>
      </c>
      <c r="G140" s="4">
        <v>817</v>
      </c>
    </row>
    <row r="141" spans="1:7">
      <c r="A141" s="3" t="s">
        <v>577</v>
      </c>
      <c r="B141" s="5">
        <v>46285</v>
      </c>
      <c r="C141" s="3">
        <v>1500</v>
      </c>
      <c r="D141" s="3">
        <v>50</v>
      </c>
      <c r="E141" s="4">
        <v>51</v>
      </c>
      <c r="F141" s="3">
        <v>0</v>
      </c>
      <c r="G141" s="4">
        <v>0</v>
      </c>
    </row>
    <row r="142" spans="1:7">
      <c r="A142" s="3" t="s">
        <v>577</v>
      </c>
      <c r="B142" s="5">
        <v>46286</v>
      </c>
      <c r="C142" s="3">
        <v>525</v>
      </c>
      <c r="D142" s="3">
        <v>15</v>
      </c>
      <c r="E142" s="4">
        <v>17.7</v>
      </c>
      <c r="F142" s="3">
        <v>2</v>
      </c>
      <c r="G142" s="4">
        <v>1634</v>
      </c>
    </row>
    <row r="143" spans="1:7">
      <c r="A143" s="3" t="s">
        <v>577</v>
      </c>
      <c r="B143" s="5">
        <v>46287</v>
      </c>
      <c r="C143" s="3">
        <v>1254</v>
      </c>
      <c r="D143" s="3">
        <v>33</v>
      </c>
      <c r="E143" s="4">
        <v>28.05</v>
      </c>
      <c r="F143" s="3">
        <v>0</v>
      </c>
      <c r="G143" s="4">
        <v>0</v>
      </c>
    </row>
    <row r="144" spans="1:7">
      <c r="A144" s="3" t="s">
        <v>577</v>
      </c>
      <c r="B144" s="5">
        <v>46288</v>
      </c>
      <c r="C144" s="3">
        <v>1320</v>
      </c>
      <c r="D144" s="3">
        <v>33</v>
      </c>
      <c r="E144" s="4">
        <v>30.03</v>
      </c>
      <c r="F144" s="3">
        <v>3</v>
      </c>
      <c r="G144" s="4">
        <v>2451</v>
      </c>
    </row>
    <row r="145" spans="1:7">
      <c r="A145" s="3" t="s">
        <v>577</v>
      </c>
      <c r="B145" s="5">
        <v>46289</v>
      </c>
      <c r="C145" s="3">
        <v>2565</v>
      </c>
      <c r="D145" s="3">
        <v>57</v>
      </c>
      <c r="E145" s="4">
        <v>78.66</v>
      </c>
      <c r="F145" s="3">
        <v>0</v>
      </c>
      <c r="G145" s="4">
        <v>0</v>
      </c>
    </row>
    <row r="146" spans="1:7">
      <c r="A146" s="3" t="s">
        <v>577</v>
      </c>
      <c r="B146" s="5">
        <v>46290</v>
      </c>
      <c r="C146" s="3">
        <v>726</v>
      </c>
      <c r="D146" s="3">
        <v>33</v>
      </c>
      <c r="E146" s="4">
        <v>43.89</v>
      </c>
      <c r="F146" s="3">
        <v>1</v>
      </c>
      <c r="G146" s="4">
        <v>817</v>
      </c>
    </row>
    <row r="147" spans="1:7">
      <c r="A147" s="3" t="s">
        <v>577</v>
      </c>
      <c r="B147" s="5">
        <v>46291</v>
      </c>
      <c r="C147" s="3">
        <v>2738</v>
      </c>
      <c r="D147" s="3">
        <v>74</v>
      </c>
      <c r="E147" s="4">
        <v>84.36</v>
      </c>
      <c r="F147" s="3">
        <v>1</v>
      </c>
      <c r="G147" s="4">
        <v>817</v>
      </c>
    </row>
    <row r="148" spans="1:7">
      <c r="A148" s="3" t="s">
        <v>577</v>
      </c>
      <c r="B148" s="5">
        <v>46292</v>
      </c>
      <c r="C148" s="3">
        <v>874</v>
      </c>
      <c r="D148" s="3">
        <v>23</v>
      </c>
      <c r="E148" s="4">
        <v>40.25</v>
      </c>
      <c r="F148" s="3">
        <v>5</v>
      </c>
      <c r="G148" s="4">
        <v>4085</v>
      </c>
    </row>
    <row r="149" spans="1:7">
      <c r="A149" s="3" t="s">
        <v>577</v>
      </c>
      <c r="B149" s="5">
        <v>46293</v>
      </c>
      <c r="C149" s="3">
        <v>2574</v>
      </c>
      <c r="D149" s="3">
        <v>66</v>
      </c>
      <c r="E149" s="4">
        <v>97.02</v>
      </c>
      <c r="F149" s="3">
        <v>4</v>
      </c>
      <c r="G149" s="4">
        <v>3268</v>
      </c>
    </row>
    <row r="150" spans="1:7">
      <c r="A150" s="3" t="s">
        <v>577</v>
      </c>
      <c r="B150" s="5">
        <v>46294</v>
      </c>
      <c r="C150" s="3">
        <v>2993</v>
      </c>
      <c r="D150" s="3">
        <v>73</v>
      </c>
      <c r="E150" s="4">
        <v>120.45</v>
      </c>
      <c r="F150" s="3">
        <v>1</v>
      </c>
      <c r="G150" s="4">
        <v>817</v>
      </c>
    </row>
    <row r="151" spans="1:7">
      <c r="A151" s="3" t="s">
        <v>577</v>
      </c>
      <c r="B151" s="5">
        <v>46295</v>
      </c>
      <c r="C151" s="3">
        <v>4116</v>
      </c>
      <c r="D151" s="3">
        <v>84</v>
      </c>
      <c r="E151" s="4">
        <v>73.08</v>
      </c>
      <c r="F151" s="3">
        <v>4</v>
      </c>
      <c r="G151" s="4">
        <v>3268</v>
      </c>
    </row>
    <row r="152" spans="1:7">
      <c r="A152" s="3" t="s">
        <v>578</v>
      </c>
      <c r="B152" s="5">
        <v>46266</v>
      </c>
      <c r="C152" s="3">
        <v>2739</v>
      </c>
      <c r="D152" s="3">
        <v>83</v>
      </c>
      <c r="E152" s="4">
        <v>102.09</v>
      </c>
      <c r="F152" s="3">
        <v>4</v>
      </c>
      <c r="G152" s="4">
        <v>3020</v>
      </c>
    </row>
    <row r="153" spans="1:7">
      <c r="A153" s="3" t="s">
        <v>578</v>
      </c>
      <c r="B153" s="5">
        <v>46267</v>
      </c>
      <c r="C153" s="3">
        <v>308</v>
      </c>
      <c r="D153" s="3">
        <v>14</v>
      </c>
      <c r="E153" s="4">
        <v>11.06</v>
      </c>
      <c r="F153" s="3">
        <v>3</v>
      </c>
      <c r="G153" s="4">
        <v>2265</v>
      </c>
    </row>
    <row r="154" spans="1:7">
      <c r="A154" s="3" t="s">
        <v>578</v>
      </c>
      <c r="B154" s="5">
        <v>46268</v>
      </c>
      <c r="C154" s="3">
        <v>832</v>
      </c>
      <c r="D154" s="3">
        <v>26</v>
      </c>
      <c r="E154" s="4">
        <v>21.58</v>
      </c>
      <c r="F154" s="3">
        <v>3</v>
      </c>
      <c r="G154" s="4">
        <v>2265</v>
      </c>
    </row>
    <row r="155" spans="1:7">
      <c r="A155" s="3" t="s">
        <v>578</v>
      </c>
      <c r="B155" s="5">
        <v>46269</v>
      </c>
      <c r="C155" s="3">
        <v>2320</v>
      </c>
      <c r="D155" s="3">
        <v>80</v>
      </c>
      <c r="E155" s="4">
        <v>100.8</v>
      </c>
      <c r="F155" s="3">
        <v>5</v>
      </c>
      <c r="G155" s="4">
        <v>3775</v>
      </c>
    </row>
    <row r="156" spans="1:7">
      <c r="A156" s="3" t="s">
        <v>578</v>
      </c>
      <c r="B156" s="5">
        <v>46270</v>
      </c>
      <c r="C156" s="3">
        <v>2624</v>
      </c>
      <c r="D156" s="3">
        <v>82</v>
      </c>
      <c r="E156" s="4">
        <v>141.86</v>
      </c>
      <c r="F156" s="3">
        <v>5</v>
      </c>
      <c r="G156" s="4">
        <v>3775</v>
      </c>
    </row>
    <row r="157" spans="1:7">
      <c r="A157" s="3" t="s">
        <v>578</v>
      </c>
      <c r="B157" s="5">
        <v>46271</v>
      </c>
      <c r="C157" s="3">
        <v>1357</v>
      </c>
      <c r="D157" s="3">
        <v>59</v>
      </c>
      <c r="E157" s="4">
        <v>46.61</v>
      </c>
      <c r="F157" s="3">
        <v>5</v>
      </c>
      <c r="G157" s="4">
        <v>3775</v>
      </c>
    </row>
    <row r="158" spans="1:7">
      <c r="A158" s="3" t="s">
        <v>578</v>
      </c>
      <c r="B158" s="5">
        <v>46272</v>
      </c>
      <c r="C158" s="3">
        <v>1800</v>
      </c>
      <c r="D158" s="3">
        <v>40</v>
      </c>
      <c r="E158" s="4">
        <v>57.6</v>
      </c>
      <c r="F158" s="3">
        <v>1</v>
      </c>
      <c r="G158" s="4">
        <v>755</v>
      </c>
    </row>
    <row r="159" spans="1:7">
      <c r="A159" s="3" t="s">
        <v>578</v>
      </c>
      <c r="B159" s="5">
        <v>46273</v>
      </c>
      <c r="C159" s="3">
        <v>2088</v>
      </c>
      <c r="D159" s="3">
        <v>72</v>
      </c>
      <c r="E159" s="4">
        <v>72</v>
      </c>
      <c r="F159" s="3">
        <v>0</v>
      </c>
      <c r="G159" s="4">
        <v>0</v>
      </c>
    </row>
    <row r="160" spans="1:7">
      <c r="A160" s="3" t="s">
        <v>578</v>
      </c>
      <c r="B160" s="5">
        <v>46274</v>
      </c>
      <c r="C160" s="3">
        <v>1128</v>
      </c>
      <c r="D160" s="3">
        <v>47</v>
      </c>
      <c r="E160" s="4">
        <v>38.54</v>
      </c>
      <c r="F160" s="3">
        <v>4</v>
      </c>
      <c r="G160" s="4">
        <v>3020</v>
      </c>
    </row>
    <row r="161" spans="1:7">
      <c r="A161" s="3" t="s">
        <v>578</v>
      </c>
      <c r="B161" s="5">
        <v>46275</v>
      </c>
      <c r="C161" s="3">
        <v>851</v>
      </c>
      <c r="D161" s="3">
        <v>37</v>
      </c>
      <c r="E161" s="4">
        <v>29.6</v>
      </c>
      <c r="F161" s="3">
        <v>5</v>
      </c>
      <c r="G161" s="4">
        <v>3775</v>
      </c>
    </row>
    <row r="162" spans="1:7">
      <c r="A162" s="3" t="s">
        <v>578</v>
      </c>
      <c r="B162" s="5">
        <v>46276</v>
      </c>
      <c r="C162" s="3">
        <v>3040</v>
      </c>
      <c r="D162" s="3">
        <v>80</v>
      </c>
      <c r="E162" s="4">
        <v>141.6</v>
      </c>
      <c r="F162" s="3">
        <v>4</v>
      </c>
      <c r="G162" s="4">
        <v>3020</v>
      </c>
    </row>
    <row r="163" spans="1:7">
      <c r="A163" s="3" t="s">
        <v>578</v>
      </c>
      <c r="B163" s="5">
        <v>46277</v>
      </c>
      <c r="C163" s="3">
        <v>2480</v>
      </c>
      <c r="D163" s="3">
        <v>80</v>
      </c>
      <c r="E163" s="4">
        <v>115.2</v>
      </c>
      <c r="F163" s="3">
        <v>1</v>
      </c>
      <c r="G163" s="4">
        <v>755</v>
      </c>
    </row>
    <row r="164" spans="1:7">
      <c r="A164" s="3" t="s">
        <v>578</v>
      </c>
      <c r="B164" s="5">
        <v>46278</v>
      </c>
      <c r="C164" s="3">
        <v>1148</v>
      </c>
      <c r="D164" s="3">
        <v>41</v>
      </c>
      <c r="E164" s="4">
        <v>25.01</v>
      </c>
      <c r="F164" s="3">
        <v>5</v>
      </c>
      <c r="G164" s="4">
        <v>3775</v>
      </c>
    </row>
    <row r="165" spans="1:7">
      <c r="A165" s="3" t="s">
        <v>578</v>
      </c>
      <c r="B165" s="5">
        <v>46279</v>
      </c>
      <c r="C165" s="3">
        <v>1813</v>
      </c>
      <c r="D165" s="3">
        <v>37</v>
      </c>
      <c r="E165" s="4">
        <v>32.19</v>
      </c>
      <c r="F165" s="3">
        <v>0</v>
      </c>
      <c r="G165" s="4">
        <v>0</v>
      </c>
    </row>
    <row r="166" spans="1:7">
      <c r="A166" s="3" t="s">
        <v>578</v>
      </c>
      <c r="B166" s="5">
        <v>46280</v>
      </c>
      <c r="C166" s="3">
        <v>792</v>
      </c>
      <c r="D166" s="3">
        <v>22</v>
      </c>
      <c r="E166" s="4">
        <v>25.3</v>
      </c>
      <c r="F166" s="3">
        <v>4</v>
      </c>
      <c r="G166" s="4">
        <v>3020</v>
      </c>
    </row>
    <row r="167" spans="1:7">
      <c r="A167" s="3" t="s">
        <v>578</v>
      </c>
      <c r="B167" s="5">
        <v>46281</v>
      </c>
      <c r="C167" s="3">
        <v>3081</v>
      </c>
      <c r="D167" s="3">
        <v>79</v>
      </c>
      <c r="E167" s="4">
        <v>84.53</v>
      </c>
      <c r="F167" s="3">
        <v>2</v>
      </c>
      <c r="G167" s="4">
        <v>1510</v>
      </c>
    </row>
    <row r="168" spans="1:7">
      <c r="A168" s="3" t="s">
        <v>578</v>
      </c>
      <c r="B168" s="5">
        <v>46282</v>
      </c>
      <c r="C168" s="3">
        <v>2006</v>
      </c>
      <c r="D168" s="3">
        <v>59</v>
      </c>
      <c r="E168" s="4">
        <v>89.68000000000001</v>
      </c>
      <c r="F168" s="3">
        <v>5</v>
      </c>
      <c r="G168" s="4">
        <v>3775</v>
      </c>
    </row>
    <row r="169" spans="1:7">
      <c r="A169" s="3" t="s">
        <v>578</v>
      </c>
      <c r="B169" s="5">
        <v>46283</v>
      </c>
      <c r="C169" s="3">
        <v>2240</v>
      </c>
      <c r="D169" s="3">
        <v>64</v>
      </c>
      <c r="E169" s="4">
        <v>81.92</v>
      </c>
      <c r="F169" s="3">
        <v>5</v>
      </c>
      <c r="G169" s="4">
        <v>3775</v>
      </c>
    </row>
    <row r="170" spans="1:7">
      <c r="A170" s="3" t="s">
        <v>578</v>
      </c>
      <c r="B170" s="5">
        <v>46284</v>
      </c>
      <c r="C170" s="3">
        <v>777</v>
      </c>
      <c r="D170" s="3">
        <v>21</v>
      </c>
      <c r="E170" s="4">
        <v>21.42</v>
      </c>
      <c r="F170" s="3">
        <v>4</v>
      </c>
      <c r="G170" s="4">
        <v>3020</v>
      </c>
    </row>
    <row r="171" spans="1:7">
      <c r="A171" s="3" t="s">
        <v>578</v>
      </c>
      <c r="B171" s="5">
        <v>46285</v>
      </c>
      <c r="C171" s="3">
        <v>2881</v>
      </c>
      <c r="D171" s="3">
        <v>67</v>
      </c>
      <c r="E171" s="4">
        <v>93.13</v>
      </c>
      <c r="F171" s="3">
        <v>5</v>
      </c>
      <c r="G171" s="4">
        <v>3775</v>
      </c>
    </row>
    <row r="172" spans="1:7">
      <c r="A172" s="3" t="s">
        <v>578</v>
      </c>
      <c r="B172" s="5">
        <v>46286</v>
      </c>
      <c r="C172" s="3">
        <v>1608</v>
      </c>
      <c r="D172" s="3">
        <v>67</v>
      </c>
      <c r="E172" s="4">
        <v>120.6</v>
      </c>
      <c r="F172" s="3">
        <v>2</v>
      </c>
      <c r="G172" s="4">
        <v>1510</v>
      </c>
    </row>
    <row r="173" spans="1:7">
      <c r="A173" s="3" t="s">
        <v>578</v>
      </c>
      <c r="B173" s="5">
        <v>46287</v>
      </c>
      <c r="C173" s="3">
        <v>2706</v>
      </c>
      <c r="D173" s="3">
        <v>66</v>
      </c>
      <c r="E173" s="4">
        <v>40.92</v>
      </c>
      <c r="F173" s="3">
        <v>5</v>
      </c>
      <c r="G173" s="4">
        <v>3775</v>
      </c>
    </row>
    <row r="174" spans="1:7">
      <c r="A174" s="3" t="s">
        <v>578</v>
      </c>
      <c r="B174" s="5">
        <v>46288</v>
      </c>
      <c r="C174" s="3">
        <v>3362</v>
      </c>
      <c r="D174" s="3">
        <v>82</v>
      </c>
      <c r="E174" s="4">
        <v>141.86</v>
      </c>
      <c r="F174" s="3">
        <v>0</v>
      </c>
      <c r="G174" s="4">
        <v>0</v>
      </c>
    </row>
    <row r="175" spans="1:7">
      <c r="A175" s="3" t="s">
        <v>578</v>
      </c>
      <c r="B175" s="5">
        <v>46289</v>
      </c>
      <c r="C175" s="3">
        <v>1728</v>
      </c>
      <c r="D175" s="3">
        <v>36</v>
      </c>
      <c r="E175" s="4">
        <v>36</v>
      </c>
      <c r="F175" s="3">
        <v>4</v>
      </c>
      <c r="G175" s="4">
        <v>3020</v>
      </c>
    </row>
    <row r="176" spans="1:7">
      <c r="A176" s="3" t="s">
        <v>578</v>
      </c>
      <c r="B176" s="5">
        <v>46290</v>
      </c>
      <c r="C176" s="3">
        <v>2720</v>
      </c>
      <c r="D176" s="3">
        <v>80</v>
      </c>
      <c r="E176" s="4">
        <v>100</v>
      </c>
      <c r="F176" s="3">
        <v>1</v>
      </c>
      <c r="G176" s="4">
        <v>755</v>
      </c>
    </row>
    <row r="177" spans="1:7">
      <c r="A177" s="3" t="s">
        <v>578</v>
      </c>
      <c r="B177" s="5">
        <v>46291</v>
      </c>
      <c r="C177" s="3">
        <v>1922</v>
      </c>
      <c r="D177" s="3">
        <v>62</v>
      </c>
      <c r="E177" s="4">
        <v>50.84</v>
      </c>
      <c r="F177" s="3">
        <v>0</v>
      </c>
      <c r="G177" s="4">
        <v>0</v>
      </c>
    </row>
    <row r="178" spans="1:7">
      <c r="A178" s="3" t="s">
        <v>578</v>
      </c>
      <c r="B178" s="5">
        <v>46292</v>
      </c>
      <c r="C178" s="3">
        <v>1088</v>
      </c>
      <c r="D178" s="3">
        <v>32</v>
      </c>
      <c r="E178" s="4">
        <v>33.92</v>
      </c>
      <c r="F178" s="3">
        <v>0</v>
      </c>
      <c r="G178" s="4">
        <v>0</v>
      </c>
    </row>
    <row r="179" spans="1:7">
      <c r="A179" s="3" t="s">
        <v>578</v>
      </c>
      <c r="B179" s="5">
        <v>46293</v>
      </c>
      <c r="C179" s="3">
        <v>544</v>
      </c>
      <c r="D179" s="3">
        <v>17</v>
      </c>
      <c r="E179" s="4">
        <v>17.85</v>
      </c>
      <c r="F179" s="3">
        <v>2</v>
      </c>
      <c r="G179" s="4">
        <v>1510</v>
      </c>
    </row>
    <row r="180" spans="1:7">
      <c r="A180" s="3" t="s">
        <v>578</v>
      </c>
      <c r="B180" s="5">
        <v>46294</v>
      </c>
      <c r="C180" s="3">
        <v>2106</v>
      </c>
      <c r="D180" s="3">
        <v>81</v>
      </c>
      <c r="E180" s="4">
        <v>90.72</v>
      </c>
      <c r="F180" s="3">
        <v>0</v>
      </c>
      <c r="G180" s="4">
        <v>0</v>
      </c>
    </row>
    <row r="181" spans="1:7">
      <c r="A181" s="3" t="s">
        <v>578</v>
      </c>
      <c r="B181" s="5">
        <v>46295</v>
      </c>
      <c r="C181" s="3">
        <v>1972</v>
      </c>
      <c r="D181" s="3">
        <v>68</v>
      </c>
      <c r="E181" s="4">
        <v>53.04</v>
      </c>
      <c r="F181" s="3">
        <v>4</v>
      </c>
      <c r="G181" s="4">
        <v>3020</v>
      </c>
    </row>
  </sheetData>
  <autoFilter ref="A1:G18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73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3" width="18.7109375" style="3" customWidth="1"/>
  </cols>
  <sheetData>
    <row r="1" spans="1:3" ht="32" customHeight="1">
      <c r="A1" s="1" t="s">
        <v>49</v>
      </c>
      <c r="B1" s="1" t="s">
        <v>579</v>
      </c>
      <c r="C1" s="1" t="s">
        <v>580</v>
      </c>
    </row>
    <row r="2" spans="1:3">
      <c r="A2" s="5">
        <v>46204</v>
      </c>
      <c r="B2" s="3" t="s">
        <v>581</v>
      </c>
      <c r="C2" s="4">
        <v>-42</v>
      </c>
    </row>
    <row r="3" spans="1:3">
      <c r="A3" s="5">
        <v>46204</v>
      </c>
      <c r="B3" s="3" t="s">
        <v>581</v>
      </c>
      <c r="C3" s="4">
        <v>-42</v>
      </c>
    </row>
    <row r="4" spans="1:3">
      <c r="A4" s="5">
        <v>46205</v>
      </c>
      <c r="B4" s="3" t="s">
        <v>581</v>
      </c>
      <c r="C4" s="4">
        <v>-42</v>
      </c>
    </row>
    <row r="5" spans="1:3">
      <c r="A5" s="5">
        <v>46205</v>
      </c>
      <c r="B5" s="3" t="s">
        <v>581</v>
      </c>
      <c r="C5" s="4">
        <v>-42</v>
      </c>
    </row>
    <row r="6" spans="1:3">
      <c r="A6" s="5">
        <v>46206</v>
      </c>
      <c r="B6" s="3" t="s">
        <v>581</v>
      </c>
      <c r="C6" s="4">
        <v>-42</v>
      </c>
    </row>
    <row r="7" spans="1:3">
      <c r="A7" s="5">
        <v>46207</v>
      </c>
      <c r="B7" s="3" t="s">
        <v>581</v>
      </c>
      <c r="C7" s="4">
        <v>-42</v>
      </c>
    </row>
    <row r="8" spans="1:3">
      <c r="A8" s="5">
        <v>46207</v>
      </c>
      <c r="B8" s="3" t="s">
        <v>581</v>
      </c>
      <c r="C8" s="4">
        <v>-6.5</v>
      </c>
    </row>
    <row r="9" spans="1:3">
      <c r="A9" s="5">
        <v>46207</v>
      </c>
      <c r="B9" s="3" t="s">
        <v>581</v>
      </c>
      <c r="C9" s="4">
        <v>-6.5</v>
      </c>
    </row>
    <row r="10" spans="1:3">
      <c r="A10" s="5">
        <v>46207</v>
      </c>
      <c r="B10" s="3" t="s">
        <v>582</v>
      </c>
      <c r="C10" s="4">
        <v>1268.78</v>
      </c>
    </row>
    <row r="11" spans="1:3">
      <c r="A11" s="5">
        <v>46208</v>
      </c>
      <c r="B11" s="3" t="s">
        <v>581</v>
      </c>
      <c r="C11" s="4">
        <v>-42</v>
      </c>
    </row>
    <row r="12" spans="1:3">
      <c r="A12" s="5">
        <v>46208</v>
      </c>
      <c r="B12" s="3" t="s">
        <v>581</v>
      </c>
      <c r="C12" s="4">
        <v>-6.5</v>
      </c>
    </row>
    <row r="13" spans="1:3">
      <c r="A13" s="5">
        <v>46208</v>
      </c>
      <c r="B13" s="3" t="s">
        <v>581</v>
      </c>
      <c r="C13" s="4">
        <v>-42</v>
      </c>
    </row>
    <row r="14" spans="1:3">
      <c r="A14" s="5">
        <v>46209</v>
      </c>
      <c r="B14" s="3" t="s">
        <v>581</v>
      </c>
      <c r="C14" s="4">
        <v>-6.5</v>
      </c>
    </row>
    <row r="15" spans="1:3">
      <c r="A15" s="5">
        <v>46209</v>
      </c>
      <c r="B15" s="3" t="s">
        <v>581</v>
      </c>
      <c r="C15" s="4">
        <v>-6.5</v>
      </c>
    </row>
    <row r="16" spans="1:3">
      <c r="A16" s="5">
        <v>46209</v>
      </c>
      <c r="B16" s="3" t="s">
        <v>581</v>
      </c>
      <c r="C16" s="4">
        <v>-42</v>
      </c>
    </row>
    <row r="17" spans="1:3">
      <c r="A17" s="5">
        <v>46210</v>
      </c>
      <c r="B17" s="3" t="s">
        <v>581</v>
      </c>
      <c r="C17" s="4">
        <v>-6.5</v>
      </c>
    </row>
    <row r="18" spans="1:3">
      <c r="A18" s="5">
        <v>46210</v>
      </c>
      <c r="B18" s="3" t="s">
        <v>581</v>
      </c>
      <c r="C18" s="4">
        <v>-42</v>
      </c>
    </row>
    <row r="19" spans="1:3">
      <c r="A19" s="5">
        <v>46210</v>
      </c>
      <c r="B19" s="3" t="s">
        <v>583</v>
      </c>
      <c r="C19" s="4">
        <v>-168.32</v>
      </c>
    </row>
    <row r="20" spans="1:3">
      <c r="A20" s="5">
        <v>46210</v>
      </c>
      <c r="B20" s="3" t="s">
        <v>584</v>
      </c>
      <c r="C20" s="4">
        <v>-5</v>
      </c>
    </row>
    <row r="21" spans="1:3">
      <c r="A21" s="5">
        <v>46211</v>
      </c>
      <c r="B21" s="3" t="s">
        <v>581</v>
      </c>
      <c r="C21" s="4">
        <v>-6.5</v>
      </c>
    </row>
    <row r="22" spans="1:3">
      <c r="A22" s="5">
        <v>46211</v>
      </c>
      <c r="B22" s="3" t="s">
        <v>581</v>
      </c>
      <c r="C22" s="4">
        <v>-42</v>
      </c>
    </row>
    <row r="23" spans="1:3">
      <c r="A23" s="5">
        <v>46211</v>
      </c>
      <c r="B23" s="3" t="s">
        <v>582</v>
      </c>
      <c r="C23" s="4">
        <v>35.49</v>
      </c>
    </row>
    <row r="24" spans="1:3">
      <c r="A24" s="5">
        <v>46211</v>
      </c>
      <c r="B24" s="3" t="s">
        <v>582</v>
      </c>
      <c r="C24" s="4">
        <v>1004.95</v>
      </c>
    </row>
    <row r="25" spans="1:3">
      <c r="A25" s="5">
        <v>46211</v>
      </c>
      <c r="B25" s="3" t="s">
        <v>582</v>
      </c>
      <c r="C25" s="4">
        <v>2345.41</v>
      </c>
    </row>
    <row r="26" spans="1:3">
      <c r="A26" s="5">
        <v>46211</v>
      </c>
      <c r="B26" s="3" t="s">
        <v>582</v>
      </c>
      <c r="C26" s="4">
        <v>1318.49</v>
      </c>
    </row>
    <row r="27" spans="1:3">
      <c r="A27" s="5">
        <v>46211</v>
      </c>
      <c r="B27" s="3" t="s">
        <v>583</v>
      </c>
      <c r="C27" s="4">
        <v>-94.39</v>
      </c>
    </row>
    <row r="28" spans="1:3">
      <c r="A28" s="5">
        <v>46211</v>
      </c>
      <c r="B28" s="3" t="s">
        <v>584</v>
      </c>
      <c r="C28" s="4">
        <v>-5</v>
      </c>
    </row>
    <row r="29" spans="1:3">
      <c r="A29" s="5">
        <v>46212</v>
      </c>
      <c r="B29" s="3" t="s">
        <v>581</v>
      </c>
      <c r="C29" s="4">
        <v>-42</v>
      </c>
    </row>
    <row r="30" spans="1:3">
      <c r="A30" s="5">
        <v>46212</v>
      </c>
      <c r="B30" s="3" t="s">
        <v>581</v>
      </c>
      <c r="C30" s="4">
        <v>-42</v>
      </c>
    </row>
    <row r="31" spans="1:3">
      <c r="A31" s="5">
        <v>46213</v>
      </c>
      <c r="B31" s="3" t="s">
        <v>581</v>
      </c>
      <c r="C31" s="4">
        <v>-42</v>
      </c>
    </row>
    <row r="32" spans="1:3">
      <c r="A32" s="5">
        <v>46213</v>
      </c>
      <c r="B32" s="3" t="s">
        <v>583</v>
      </c>
      <c r="C32" s="4">
        <v>-197.26</v>
      </c>
    </row>
    <row r="33" spans="1:3">
      <c r="A33" s="5">
        <v>46213</v>
      </c>
      <c r="B33" s="3" t="s">
        <v>583</v>
      </c>
      <c r="C33" s="4">
        <v>-3.56</v>
      </c>
    </row>
    <row r="34" spans="1:3">
      <c r="A34" s="5">
        <v>46213</v>
      </c>
      <c r="B34" s="3" t="s">
        <v>584</v>
      </c>
      <c r="C34" s="4">
        <v>-5</v>
      </c>
    </row>
    <row r="35" spans="1:3">
      <c r="A35" s="5">
        <v>46213</v>
      </c>
      <c r="B35" s="3" t="s">
        <v>584</v>
      </c>
      <c r="C35" s="4">
        <v>-5</v>
      </c>
    </row>
    <row r="36" spans="1:3">
      <c r="A36" s="5">
        <v>46214</v>
      </c>
      <c r="B36" s="3" t="s">
        <v>581</v>
      </c>
      <c r="C36" s="4">
        <v>-6.5</v>
      </c>
    </row>
    <row r="37" spans="1:3">
      <c r="A37" s="5">
        <v>46214</v>
      </c>
      <c r="B37" s="3" t="s">
        <v>581</v>
      </c>
      <c r="C37" s="4">
        <v>-42</v>
      </c>
    </row>
    <row r="38" spans="1:3">
      <c r="A38" s="5">
        <v>46214</v>
      </c>
      <c r="B38" s="3" t="s">
        <v>583</v>
      </c>
      <c r="C38" s="4">
        <v>-93.84999999999999</v>
      </c>
    </row>
    <row r="39" spans="1:3">
      <c r="A39" s="5">
        <v>46214</v>
      </c>
      <c r="B39" s="3" t="s">
        <v>584</v>
      </c>
      <c r="C39" s="4">
        <v>-5</v>
      </c>
    </row>
    <row r="40" spans="1:3">
      <c r="A40" s="5">
        <v>46215</v>
      </c>
      <c r="B40" s="3" t="s">
        <v>581</v>
      </c>
      <c r="C40" s="4">
        <v>-42</v>
      </c>
    </row>
    <row r="41" spans="1:3">
      <c r="A41" s="5">
        <v>46215</v>
      </c>
      <c r="B41" s="3" t="s">
        <v>581</v>
      </c>
      <c r="C41" s="4">
        <v>-42</v>
      </c>
    </row>
    <row r="42" spans="1:3">
      <c r="A42" s="5">
        <v>46215</v>
      </c>
      <c r="B42" s="3" t="s">
        <v>581</v>
      </c>
      <c r="C42" s="4">
        <v>-6.5</v>
      </c>
    </row>
    <row r="43" spans="1:3">
      <c r="A43" s="5">
        <v>46215</v>
      </c>
      <c r="B43" s="3" t="s">
        <v>582</v>
      </c>
      <c r="C43" s="4">
        <v>425.82</v>
      </c>
    </row>
    <row r="44" spans="1:3">
      <c r="A44" s="5">
        <v>46215</v>
      </c>
      <c r="B44" s="3" t="s">
        <v>582</v>
      </c>
      <c r="C44" s="4">
        <v>89.68000000000001</v>
      </c>
    </row>
    <row r="45" spans="1:3">
      <c r="A45" s="5">
        <v>46215</v>
      </c>
      <c r="B45" s="3" t="s">
        <v>582</v>
      </c>
      <c r="C45" s="4">
        <v>51.48</v>
      </c>
    </row>
    <row r="46" spans="1:3">
      <c r="A46" s="5">
        <v>46215</v>
      </c>
      <c r="B46" s="3" t="s">
        <v>582</v>
      </c>
      <c r="C46" s="4">
        <v>735.17</v>
      </c>
    </row>
    <row r="47" spans="1:3">
      <c r="A47" s="5">
        <v>46215</v>
      </c>
      <c r="B47" s="3" t="s">
        <v>582</v>
      </c>
      <c r="C47" s="4">
        <v>1384.61</v>
      </c>
    </row>
    <row r="48" spans="1:3">
      <c r="A48" s="5">
        <v>46216</v>
      </c>
      <c r="B48" s="3" t="s">
        <v>581</v>
      </c>
      <c r="C48" s="4">
        <v>-6.5</v>
      </c>
    </row>
    <row r="49" spans="1:3">
      <c r="A49" s="5">
        <v>46216</v>
      </c>
      <c r="B49" s="3" t="s">
        <v>581</v>
      </c>
      <c r="C49" s="4">
        <v>-6.5</v>
      </c>
    </row>
    <row r="50" spans="1:3">
      <c r="A50" s="5">
        <v>46216</v>
      </c>
      <c r="B50" s="3" t="s">
        <v>581</v>
      </c>
      <c r="C50" s="4">
        <v>-42</v>
      </c>
    </row>
    <row r="51" spans="1:3">
      <c r="A51" s="5">
        <v>46217</v>
      </c>
      <c r="B51" s="3" t="s">
        <v>581</v>
      </c>
      <c r="C51" s="4">
        <v>-42</v>
      </c>
    </row>
    <row r="52" spans="1:3">
      <c r="A52" s="5">
        <v>46217</v>
      </c>
      <c r="B52" s="3" t="s">
        <v>581</v>
      </c>
      <c r="C52" s="4">
        <v>-42</v>
      </c>
    </row>
    <row r="53" spans="1:3">
      <c r="A53" s="5">
        <v>46217</v>
      </c>
      <c r="B53" s="3" t="s">
        <v>581</v>
      </c>
      <c r="C53" s="4">
        <v>-42</v>
      </c>
    </row>
    <row r="54" spans="1:3">
      <c r="A54" s="5">
        <v>46217</v>
      </c>
      <c r="B54" s="3" t="s">
        <v>583</v>
      </c>
      <c r="C54" s="4">
        <v>-17.42</v>
      </c>
    </row>
    <row r="55" spans="1:3">
      <c r="A55" s="5">
        <v>46217</v>
      </c>
      <c r="B55" s="3" t="s">
        <v>584</v>
      </c>
      <c r="C55" s="4">
        <v>-5</v>
      </c>
    </row>
    <row r="56" spans="1:3">
      <c r="A56" s="5">
        <v>46218</v>
      </c>
      <c r="B56" s="3" t="s">
        <v>581</v>
      </c>
      <c r="C56" s="4">
        <v>-42</v>
      </c>
    </row>
    <row r="57" spans="1:3">
      <c r="A57" s="5">
        <v>46218</v>
      </c>
      <c r="B57" s="3" t="s">
        <v>581</v>
      </c>
      <c r="C57" s="4">
        <v>-42</v>
      </c>
    </row>
    <row r="58" spans="1:3">
      <c r="A58" s="5">
        <v>46218</v>
      </c>
      <c r="B58" s="3" t="s">
        <v>581</v>
      </c>
      <c r="C58" s="4">
        <v>-6.5</v>
      </c>
    </row>
    <row r="59" spans="1:3">
      <c r="A59" s="5">
        <v>46219</v>
      </c>
      <c r="B59" s="3" t="s">
        <v>581</v>
      </c>
      <c r="C59" s="4">
        <v>-6.5</v>
      </c>
    </row>
    <row r="60" spans="1:3">
      <c r="A60" s="5">
        <v>46219</v>
      </c>
      <c r="B60" s="3" t="s">
        <v>581</v>
      </c>
      <c r="C60" s="4">
        <v>-42</v>
      </c>
    </row>
    <row r="61" spans="1:3">
      <c r="A61" s="5">
        <v>46219</v>
      </c>
      <c r="B61" s="3" t="s">
        <v>582</v>
      </c>
      <c r="C61" s="4">
        <v>2716.36</v>
      </c>
    </row>
    <row r="62" spans="1:3">
      <c r="A62" s="5">
        <v>46219</v>
      </c>
      <c r="B62" s="3" t="s">
        <v>582</v>
      </c>
      <c r="C62" s="4">
        <v>1187.41</v>
      </c>
    </row>
    <row r="63" spans="1:3">
      <c r="A63" s="5">
        <v>46219</v>
      </c>
      <c r="B63" s="3" t="s">
        <v>582</v>
      </c>
      <c r="C63" s="4">
        <v>938.62</v>
      </c>
    </row>
    <row r="64" spans="1:3">
      <c r="A64" s="5">
        <v>46219</v>
      </c>
      <c r="B64" s="3" t="s">
        <v>582</v>
      </c>
      <c r="C64" s="4">
        <v>652.78</v>
      </c>
    </row>
    <row r="65" spans="1:3">
      <c r="A65" s="5">
        <v>46219</v>
      </c>
      <c r="B65" s="3" t="s">
        <v>582</v>
      </c>
      <c r="C65" s="4">
        <v>55.44</v>
      </c>
    </row>
    <row r="66" spans="1:3">
      <c r="A66" s="5">
        <v>46220</v>
      </c>
      <c r="B66" s="3" t="s">
        <v>581</v>
      </c>
      <c r="C66" s="4">
        <v>-42</v>
      </c>
    </row>
    <row r="67" spans="1:3">
      <c r="A67" s="5">
        <v>46220</v>
      </c>
      <c r="B67" s="3" t="s">
        <v>581</v>
      </c>
      <c r="C67" s="4">
        <v>-42</v>
      </c>
    </row>
    <row r="68" spans="1:3">
      <c r="A68" s="5">
        <v>46221</v>
      </c>
      <c r="B68" s="3" t="s">
        <v>582</v>
      </c>
      <c r="C68" s="4">
        <v>1446.54</v>
      </c>
    </row>
    <row r="69" spans="1:3">
      <c r="A69" s="5">
        <v>46221</v>
      </c>
      <c r="B69" s="3" t="s">
        <v>582</v>
      </c>
      <c r="C69" s="4">
        <v>68.77</v>
      </c>
    </row>
    <row r="70" spans="1:3">
      <c r="A70" s="5">
        <v>46221</v>
      </c>
      <c r="B70" s="3" t="s">
        <v>582</v>
      </c>
      <c r="C70" s="4">
        <v>26.14</v>
      </c>
    </row>
    <row r="71" spans="1:3">
      <c r="A71" s="5">
        <v>46222</v>
      </c>
      <c r="B71" s="3" t="s">
        <v>581</v>
      </c>
      <c r="C71" s="4">
        <v>-42</v>
      </c>
    </row>
    <row r="72" spans="1:3">
      <c r="A72" s="5">
        <v>46222</v>
      </c>
      <c r="B72" s="3" t="s">
        <v>581</v>
      </c>
      <c r="C72" s="4">
        <v>-42</v>
      </c>
    </row>
    <row r="73" spans="1:3">
      <c r="A73" s="5">
        <v>46222</v>
      </c>
      <c r="B73" s="3" t="s">
        <v>581</v>
      </c>
      <c r="C73" s="4">
        <v>-42</v>
      </c>
    </row>
    <row r="74" spans="1:3">
      <c r="A74" s="5">
        <v>46223</v>
      </c>
      <c r="B74" s="3" t="s">
        <v>581</v>
      </c>
      <c r="C74" s="4">
        <v>-42</v>
      </c>
    </row>
    <row r="75" spans="1:3">
      <c r="A75" s="5">
        <v>46223</v>
      </c>
      <c r="B75" s="3" t="s">
        <v>581</v>
      </c>
      <c r="C75" s="4">
        <v>-42</v>
      </c>
    </row>
    <row r="76" spans="1:3">
      <c r="A76" s="5">
        <v>46223</v>
      </c>
      <c r="B76" s="3" t="s">
        <v>581</v>
      </c>
      <c r="C76" s="4">
        <v>-42</v>
      </c>
    </row>
    <row r="77" spans="1:3">
      <c r="A77" s="5">
        <v>46223</v>
      </c>
      <c r="B77" s="3" t="s">
        <v>582</v>
      </c>
      <c r="C77" s="4">
        <v>47.94</v>
      </c>
    </row>
    <row r="78" spans="1:3">
      <c r="A78" s="5">
        <v>46223</v>
      </c>
      <c r="B78" s="3" t="s">
        <v>582</v>
      </c>
      <c r="C78" s="4">
        <v>1764.87</v>
      </c>
    </row>
    <row r="79" spans="1:3">
      <c r="A79" s="5">
        <v>46223</v>
      </c>
      <c r="B79" s="3" t="s">
        <v>582</v>
      </c>
      <c r="C79" s="4">
        <v>63.45</v>
      </c>
    </row>
    <row r="80" spans="1:3">
      <c r="A80" s="5">
        <v>46223</v>
      </c>
      <c r="B80" s="3" t="s">
        <v>582</v>
      </c>
      <c r="C80" s="4">
        <v>1382.54</v>
      </c>
    </row>
    <row r="81" spans="1:3">
      <c r="A81" s="5">
        <v>46223</v>
      </c>
      <c r="B81" s="3" t="s">
        <v>582</v>
      </c>
      <c r="C81" s="4">
        <v>865.51</v>
      </c>
    </row>
    <row r="82" spans="1:3">
      <c r="A82" s="5">
        <v>46223</v>
      </c>
      <c r="B82" s="3" t="s">
        <v>582</v>
      </c>
      <c r="C82" s="4">
        <v>452.48</v>
      </c>
    </row>
    <row r="83" spans="1:3">
      <c r="A83" s="5">
        <v>46223</v>
      </c>
      <c r="B83" s="3" t="s">
        <v>583</v>
      </c>
      <c r="C83" s="4">
        <v>-11.62</v>
      </c>
    </row>
    <row r="84" spans="1:3">
      <c r="A84" s="5">
        <v>46223</v>
      </c>
      <c r="B84" s="3" t="s">
        <v>583</v>
      </c>
      <c r="C84" s="4">
        <v>-119.93</v>
      </c>
    </row>
    <row r="85" spans="1:3">
      <c r="A85" s="5">
        <v>46223</v>
      </c>
      <c r="B85" s="3" t="s">
        <v>584</v>
      </c>
      <c r="C85" s="4">
        <v>-5</v>
      </c>
    </row>
    <row r="86" spans="1:3">
      <c r="A86" s="5">
        <v>46223</v>
      </c>
      <c r="B86" s="3" t="s">
        <v>584</v>
      </c>
      <c r="C86" s="4">
        <v>-5</v>
      </c>
    </row>
    <row r="87" spans="1:3">
      <c r="A87" s="5">
        <v>46224</v>
      </c>
      <c r="B87" s="3" t="s">
        <v>581</v>
      </c>
      <c r="C87" s="4">
        <v>-42</v>
      </c>
    </row>
    <row r="88" spans="1:3">
      <c r="A88" s="5">
        <v>46224</v>
      </c>
      <c r="B88" s="3" t="s">
        <v>581</v>
      </c>
      <c r="C88" s="4">
        <v>-42</v>
      </c>
    </row>
    <row r="89" spans="1:3">
      <c r="A89" s="5">
        <v>46224</v>
      </c>
      <c r="B89" s="3" t="s">
        <v>581</v>
      </c>
      <c r="C89" s="4">
        <v>-42</v>
      </c>
    </row>
    <row r="90" spans="1:3">
      <c r="A90" s="5">
        <v>46225</v>
      </c>
      <c r="B90" s="3" t="s">
        <v>581</v>
      </c>
      <c r="C90" s="4">
        <v>-42</v>
      </c>
    </row>
    <row r="91" spans="1:3">
      <c r="A91" s="5">
        <v>46225</v>
      </c>
      <c r="B91" s="3" t="s">
        <v>581</v>
      </c>
      <c r="C91" s="4">
        <v>-42</v>
      </c>
    </row>
    <row r="92" spans="1:3">
      <c r="A92" s="5">
        <v>46225</v>
      </c>
      <c r="B92" s="3" t="s">
        <v>582</v>
      </c>
      <c r="C92" s="4">
        <v>127.78</v>
      </c>
    </row>
    <row r="93" spans="1:3">
      <c r="A93" s="5">
        <v>46225</v>
      </c>
      <c r="B93" s="3" t="s">
        <v>582</v>
      </c>
      <c r="C93" s="4">
        <v>728.64</v>
      </c>
    </row>
    <row r="94" spans="1:3">
      <c r="A94" s="5">
        <v>46225</v>
      </c>
      <c r="B94" s="3" t="s">
        <v>583</v>
      </c>
      <c r="C94" s="4">
        <v>-31.82</v>
      </c>
    </row>
    <row r="95" spans="1:3">
      <c r="A95" s="5">
        <v>46225</v>
      </c>
      <c r="B95" s="3" t="s">
        <v>584</v>
      </c>
      <c r="C95" s="4">
        <v>-5</v>
      </c>
    </row>
    <row r="96" spans="1:3">
      <c r="A96" s="5">
        <v>46226</v>
      </c>
      <c r="B96" s="3" t="s">
        <v>581</v>
      </c>
      <c r="C96" s="4">
        <v>-6.5</v>
      </c>
    </row>
    <row r="97" spans="1:3">
      <c r="A97" s="5">
        <v>46226</v>
      </c>
      <c r="B97" s="3" t="s">
        <v>581</v>
      </c>
      <c r="C97" s="4">
        <v>-6.5</v>
      </c>
    </row>
    <row r="98" spans="1:3">
      <c r="A98" s="5">
        <v>46226</v>
      </c>
      <c r="B98" s="3" t="s">
        <v>583</v>
      </c>
      <c r="C98" s="4">
        <v>-254.14</v>
      </c>
    </row>
    <row r="99" spans="1:3">
      <c r="A99" s="5">
        <v>46226</v>
      </c>
      <c r="B99" s="3" t="s">
        <v>584</v>
      </c>
      <c r="C99" s="4">
        <v>-5</v>
      </c>
    </row>
    <row r="100" spans="1:3">
      <c r="A100" s="5">
        <v>46227</v>
      </c>
      <c r="B100" s="3" t="s">
        <v>581</v>
      </c>
      <c r="C100" s="4">
        <v>-42</v>
      </c>
    </row>
    <row r="101" spans="1:3">
      <c r="A101" s="5">
        <v>46227</v>
      </c>
      <c r="B101" s="3" t="s">
        <v>581</v>
      </c>
      <c r="C101" s="4">
        <v>-42</v>
      </c>
    </row>
    <row r="102" spans="1:3">
      <c r="A102" s="5">
        <v>46227</v>
      </c>
      <c r="B102" s="3" t="s">
        <v>582</v>
      </c>
      <c r="C102" s="4">
        <v>1990.78</v>
      </c>
    </row>
    <row r="103" spans="1:3">
      <c r="A103" s="5">
        <v>46227</v>
      </c>
      <c r="B103" s="3" t="s">
        <v>582</v>
      </c>
      <c r="C103" s="4">
        <v>5.64</v>
      </c>
    </row>
    <row r="104" spans="1:3">
      <c r="A104" s="5">
        <v>46227</v>
      </c>
      <c r="B104" s="3" t="s">
        <v>582</v>
      </c>
      <c r="C104" s="4">
        <v>1460.76</v>
      </c>
    </row>
    <row r="105" spans="1:3">
      <c r="A105" s="5">
        <v>46227</v>
      </c>
      <c r="B105" s="3" t="s">
        <v>582</v>
      </c>
      <c r="C105" s="4">
        <v>184.73</v>
      </c>
    </row>
    <row r="106" spans="1:3">
      <c r="A106" s="5">
        <v>46228</v>
      </c>
      <c r="B106" s="3" t="s">
        <v>581</v>
      </c>
      <c r="C106" s="4">
        <v>-42</v>
      </c>
    </row>
    <row r="107" spans="1:3">
      <c r="A107" s="5">
        <v>46228</v>
      </c>
      <c r="B107" s="3" t="s">
        <v>581</v>
      </c>
      <c r="C107" s="4">
        <v>-6.5</v>
      </c>
    </row>
    <row r="108" spans="1:3">
      <c r="A108" s="5">
        <v>46228</v>
      </c>
      <c r="B108" s="3" t="s">
        <v>581</v>
      </c>
      <c r="C108" s="4">
        <v>-42</v>
      </c>
    </row>
    <row r="109" spans="1:3">
      <c r="A109" s="5">
        <v>46228</v>
      </c>
      <c r="B109" s="3" t="s">
        <v>583</v>
      </c>
      <c r="C109" s="4">
        <v>-213.92</v>
      </c>
    </row>
    <row r="110" spans="1:3">
      <c r="A110" s="5">
        <v>46228</v>
      </c>
      <c r="B110" s="3" t="s">
        <v>583</v>
      </c>
      <c r="C110" s="4">
        <v>-167.58</v>
      </c>
    </row>
    <row r="111" spans="1:3">
      <c r="A111" s="5">
        <v>46228</v>
      </c>
      <c r="B111" s="3" t="s">
        <v>584</v>
      </c>
      <c r="C111" s="4">
        <v>-5</v>
      </c>
    </row>
    <row r="112" spans="1:3">
      <c r="A112" s="5">
        <v>46228</v>
      </c>
      <c r="B112" s="3" t="s">
        <v>584</v>
      </c>
      <c r="C112" s="4">
        <v>-5</v>
      </c>
    </row>
    <row r="113" spans="1:3">
      <c r="A113" s="5">
        <v>46229</v>
      </c>
      <c r="B113" s="3" t="s">
        <v>581</v>
      </c>
      <c r="C113" s="4">
        <v>-6.5</v>
      </c>
    </row>
    <row r="114" spans="1:3">
      <c r="A114" s="5">
        <v>46229</v>
      </c>
      <c r="B114" s="3" t="s">
        <v>581</v>
      </c>
      <c r="C114" s="4">
        <v>-42</v>
      </c>
    </row>
    <row r="115" spans="1:3">
      <c r="A115" s="5">
        <v>46229</v>
      </c>
      <c r="B115" s="3" t="s">
        <v>582</v>
      </c>
      <c r="C115" s="4">
        <v>1367.26</v>
      </c>
    </row>
    <row r="116" spans="1:3">
      <c r="A116" s="5">
        <v>46229</v>
      </c>
      <c r="B116" s="3" t="s">
        <v>582</v>
      </c>
      <c r="C116" s="4">
        <v>434.81</v>
      </c>
    </row>
    <row r="117" spans="1:3">
      <c r="A117" s="5">
        <v>46229</v>
      </c>
      <c r="B117" s="3" t="s">
        <v>582</v>
      </c>
      <c r="C117" s="4">
        <v>66.66</v>
      </c>
    </row>
    <row r="118" spans="1:3">
      <c r="A118" s="5">
        <v>46229</v>
      </c>
      <c r="B118" s="3" t="s">
        <v>583</v>
      </c>
      <c r="C118" s="4">
        <v>-148</v>
      </c>
    </row>
    <row r="119" spans="1:3">
      <c r="A119" s="5">
        <v>46229</v>
      </c>
      <c r="B119" s="3" t="s">
        <v>583</v>
      </c>
      <c r="C119" s="4">
        <v>-246.49</v>
      </c>
    </row>
    <row r="120" spans="1:3">
      <c r="A120" s="5">
        <v>46229</v>
      </c>
      <c r="B120" s="3" t="s">
        <v>584</v>
      </c>
      <c r="C120" s="4">
        <v>-5</v>
      </c>
    </row>
    <row r="121" spans="1:3">
      <c r="A121" s="5">
        <v>46229</v>
      </c>
      <c r="B121" s="3" t="s">
        <v>584</v>
      </c>
      <c r="C121" s="4">
        <v>-5</v>
      </c>
    </row>
    <row r="122" spans="1:3">
      <c r="A122" s="5">
        <v>46230</v>
      </c>
      <c r="B122" s="3" t="s">
        <v>581</v>
      </c>
      <c r="C122" s="4">
        <v>-6.5</v>
      </c>
    </row>
    <row r="123" spans="1:3">
      <c r="A123" s="5">
        <v>46230</v>
      </c>
      <c r="B123" s="3" t="s">
        <v>581</v>
      </c>
      <c r="C123" s="4">
        <v>-42</v>
      </c>
    </row>
    <row r="124" spans="1:3">
      <c r="A124" s="5">
        <v>46230</v>
      </c>
      <c r="B124" s="3" t="s">
        <v>581</v>
      </c>
      <c r="C124" s="4">
        <v>-42</v>
      </c>
    </row>
    <row r="125" spans="1:3">
      <c r="A125" s="5">
        <v>46231</v>
      </c>
      <c r="B125" s="3" t="s">
        <v>581</v>
      </c>
      <c r="C125" s="4">
        <v>-6.5</v>
      </c>
    </row>
    <row r="126" spans="1:3">
      <c r="A126" s="5">
        <v>46231</v>
      </c>
      <c r="B126" s="3" t="s">
        <v>581</v>
      </c>
      <c r="C126" s="4">
        <v>-6.5</v>
      </c>
    </row>
    <row r="127" spans="1:3">
      <c r="A127" s="5">
        <v>46231</v>
      </c>
      <c r="B127" s="3" t="s">
        <v>582</v>
      </c>
      <c r="C127" s="4">
        <v>1301.43</v>
      </c>
    </row>
    <row r="128" spans="1:3">
      <c r="A128" s="5">
        <v>46231</v>
      </c>
      <c r="B128" s="3" t="s">
        <v>582</v>
      </c>
      <c r="C128" s="4">
        <v>34.75</v>
      </c>
    </row>
    <row r="129" spans="1:3">
      <c r="A129" s="5">
        <v>46231</v>
      </c>
      <c r="B129" s="3" t="s">
        <v>582</v>
      </c>
      <c r="C129" s="4">
        <v>749.23</v>
      </c>
    </row>
    <row r="130" spans="1:3">
      <c r="A130" s="5">
        <v>46231</v>
      </c>
      <c r="B130" s="3" t="s">
        <v>582</v>
      </c>
      <c r="C130" s="4">
        <v>1605.43</v>
      </c>
    </row>
    <row r="131" spans="1:3">
      <c r="A131" s="5">
        <v>46231</v>
      </c>
      <c r="B131" s="3" t="s">
        <v>582</v>
      </c>
      <c r="C131" s="4">
        <v>674.21</v>
      </c>
    </row>
    <row r="132" spans="1:3">
      <c r="A132" s="5">
        <v>46231</v>
      </c>
      <c r="B132" s="3" t="s">
        <v>582</v>
      </c>
      <c r="C132" s="4">
        <v>2629.79</v>
      </c>
    </row>
    <row r="133" spans="1:3">
      <c r="A133" s="5">
        <v>46232</v>
      </c>
      <c r="B133" s="3" t="s">
        <v>581</v>
      </c>
      <c r="C133" s="4">
        <v>-42</v>
      </c>
    </row>
    <row r="134" spans="1:3">
      <c r="A134" s="5">
        <v>46232</v>
      </c>
      <c r="B134" s="3" t="s">
        <v>581</v>
      </c>
      <c r="C134" s="4">
        <v>-42</v>
      </c>
    </row>
    <row r="135" spans="1:3">
      <c r="A135" s="5">
        <v>46232</v>
      </c>
      <c r="B135" s="3" t="s">
        <v>581</v>
      </c>
      <c r="C135" s="4">
        <v>-42</v>
      </c>
    </row>
    <row r="136" spans="1:3">
      <c r="A136" s="5">
        <v>46233</v>
      </c>
      <c r="B136" s="3" t="s">
        <v>581</v>
      </c>
      <c r="C136" s="4">
        <v>-42</v>
      </c>
    </row>
    <row r="137" spans="1:3">
      <c r="A137" s="5">
        <v>46233</v>
      </c>
      <c r="B137" s="3" t="s">
        <v>582</v>
      </c>
      <c r="C137" s="4">
        <v>22.18</v>
      </c>
    </row>
    <row r="138" spans="1:3">
      <c r="A138" s="5">
        <v>46233</v>
      </c>
      <c r="B138" s="3" t="s">
        <v>582</v>
      </c>
      <c r="C138" s="4">
        <v>233.38</v>
      </c>
    </row>
    <row r="139" spans="1:3">
      <c r="A139" s="5">
        <v>46233</v>
      </c>
      <c r="B139" s="3" t="s">
        <v>583</v>
      </c>
      <c r="C139" s="4">
        <v>-212.54</v>
      </c>
    </row>
    <row r="140" spans="1:3">
      <c r="A140" s="5">
        <v>46233</v>
      </c>
      <c r="B140" s="3" t="s">
        <v>584</v>
      </c>
      <c r="C140" s="4">
        <v>-5</v>
      </c>
    </row>
    <row r="141" spans="1:3">
      <c r="A141" s="5">
        <v>46234</v>
      </c>
      <c r="B141" s="3" t="s">
        <v>581</v>
      </c>
      <c r="C141" s="4">
        <v>-42</v>
      </c>
    </row>
    <row r="142" spans="1:3">
      <c r="A142" s="5">
        <v>46234</v>
      </c>
      <c r="B142" s="3" t="s">
        <v>581</v>
      </c>
      <c r="C142" s="4">
        <v>-6.5</v>
      </c>
    </row>
    <row r="143" spans="1:3">
      <c r="A143" s="5">
        <v>46234</v>
      </c>
      <c r="B143" s="3" t="s">
        <v>583</v>
      </c>
      <c r="C143" s="4">
        <v>-111.72</v>
      </c>
    </row>
    <row r="144" spans="1:3">
      <c r="A144" s="5">
        <v>46234</v>
      </c>
      <c r="B144" s="3" t="s">
        <v>584</v>
      </c>
      <c r="C144" s="4">
        <v>-5</v>
      </c>
    </row>
    <row r="145" spans="1:3">
      <c r="A145" s="5">
        <v>46235</v>
      </c>
      <c r="B145" s="3" t="s">
        <v>581</v>
      </c>
      <c r="C145" s="4">
        <v>-42</v>
      </c>
    </row>
    <row r="146" spans="1:3">
      <c r="A146" s="5">
        <v>46235</v>
      </c>
      <c r="B146" s="3" t="s">
        <v>582</v>
      </c>
      <c r="C146" s="4">
        <v>909.5</v>
      </c>
    </row>
    <row r="147" spans="1:3">
      <c r="A147" s="5">
        <v>46235</v>
      </c>
      <c r="B147" s="3" t="s">
        <v>582</v>
      </c>
      <c r="C147" s="4">
        <v>1260.67</v>
      </c>
    </row>
    <row r="148" spans="1:3">
      <c r="A148" s="5">
        <v>46235</v>
      </c>
      <c r="B148" s="3" t="s">
        <v>582</v>
      </c>
      <c r="C148" s="4">
        <v>770.87</v>
      </c>
    </row>
    <row r="149" spans="1:3">
      <c r="A149" s="5">
        <v>46235</v>
      </c>
      <c r="B149" s="3" t="s">
        <v>582</v>
      </c>
      <c r="C149" s="4">
        <v>18.38</v>
      </c>
    </row>
    <row r="150" spans="1:3">
      <c r="A150" s="5">
        <v>46235</v>
      </c>
      <c r="B150" s="3" t="s">
        <v>582</v>
      </c>
      <c r="C150" s="4">
        <v>178.4</v>
      </c>
    </row>
    <row r="151" spans="1:3">
      <c r="A151" s="5">
        <v>46235</v>
      </c>
      <c r="B151" s="3" t="s">
        <v>582</v>
      </c>
      <c r="C151" s="4">
        <v>2105.58</v>
      </c>
    </row>
    <row r="152" spans="1:3">
      <c r="A152" s="5">
        <v>46235</v>
      </c>
      <c r="B152" s="3" t="s">
        <v>582</v>
      </c>
      <c r="C152" s="4">
        <v>993.77</v>
      </c>
    </row>
    <row r="153" spans="1:3">
      <c r="A153" s="5">
        <v>46235</v>
      </c>
      <c r="B153" s="3" t="s">
        <v>583</v>
      </c>
      <c r="C153" s="4">
        <v>-164.32</v>
      </c>
    </row>
    <row r="154" spans="1:3">
      <c r="A154" s="5">
        <v>46235</v>
      </c>
      <c r="B154" s="3" t="s">
        <v>584</v>
      </c>
      <c r="C154" s="4">
        <v>-5</v>
      </c>
    </row>
    <row r="155" spans="1:3">
      <c r="A155" s="5">
        <v>46236</v>
      </c>
      <c r="B155" s="3" t="s">
        <v>581</v>
      </c>
      <c r="C155" s="4">
        <v>-6.5</v>
      </c>
    </row>
    <row r="156" spans="1:3">
      <c r="A156" s="5">
        <v>46236</v>
      </c>
      <c r="B156" s="3" t="s">
        <v>581</v>
      </c>
      <c r="C156" s="4">
        <v>-42</v>
      </c>
    </row>
    <row r="157" spans="1:3">
      <c r="A157" s="5">
        <v>46236</v>
      </c>
      <c r="B157" s="3" t="s">
        <v>581</v>
      </c>
      <c r="C157" s="4">
        <v>-42</v>
      </c>
    </row>
    <row r="158" spans="1:3">
      <c r="A158" s="5">
        <v>46237</v>
      </c>
      <c r="B158" s="3" t="s">
        <v>581</v>
      </c>
      <c r="C158" s="4">
        <v>-6.5</v>
      </c>
    </row>
    <row r="159" spans="1:3">
      <c r="A159" s="5">
        <v>46237</v>
      </c>
      <c r="B159" s="3" t="s">
        <v>581</v>
      </c>
      <c r="C159" s="4">
        <v>-6.5</v>
      </c>
    </row>
    <row r="160" spans="1:3">
      <c r="A160" s="5">
        <v>46237</v>
      </c>
      <c r="B160" s="3" t="s">
        <v>582</v>
      </c>
      <c r="C160" s="4">
        <v>1085.35</v>
      </c>
    </row>
    <row r="161" spans="1:3">
      <c r="A161" s="5">
        <v>46237</v>
      </c>
      <c r="B161" s="3" t="s">
        <v>582</v>
      </c>
      <c r="C161" s="4">
        <v>1807.56</v>
      </c>
    </row>
    <row r="162" spans="1:3">
      <c r="A162" s="5">
        <v>46237</v>
      </c>
      <c r="B162" s="3" t="s">
        <v>582</v>
      </c>
      <c r="C162" s="4">
        <v>1669.8</v>
      </c>
    </row>
    <row r="163" spans="1:3">
      <c r="A163" s="5">
        <v>46237</v>
      </c>
      <c r="B163" s="3" t="s">
        <v>583</v>
      </c>
      <c r="C163" s="4">
        <v>-9.699999999999999</v>
      </c>
    </row>
    <row r="164" spans="1:3">
      <c r="A164" s="5">
        <v>46237</v>
      </c>
      <c r="B164" s="3" t="s">
        <v>583</v>
      </c>
      <c r="C164" s="4">
        <v>-2.05</v>
      </c>
    </row>
    <row r="165" spans="1:3">
      <c r="A165" s="5">
        <v>46237</v>
      </c>
      <c r="B165" s="3" t="s">
        <v>584</v>
      </c>
      <c r="C165" s="4">
        <v>-5</v>
      </c>
    </row>
    <row r="166" spans="1:3">
      <c r="A166" s="5">
        <v>46237</v>
      </c>
      <c r="B166" s="3" t="s">
        <v>584</v>
      </c>
      <c r="C166" s="4">
        <v>-5</v>
      </c>
    </row>
    <row r="167" spans="1:3">
      <c r="A167" s="5">
        <v>46238</v>
      </c>
      <c r="B167" s="3" t="s">
        <v>581</v>
      </c>
      <c r="C167" s="4">
        <v>-42</v>
      </c>
    </row>
    <row r="168" spans="1:3">
      <c r="A168" s="5">
        <v>46238</v>
      </c>
      <c r="B168" s="3" t="s">
        <v>581</v>
      </c>
      <c r="C168" s="4">
        <v>-42</v>
      </c>
    </row>
    <row r="169" spans="1:3">
      <c r="A169" s="5">
        <v>46238</v>
      </c>
      <c r="B169" s="3" t="s">
        <v>583</v>
      </c>
      <c r="C169" s="4">
        <v>-270.47</v>
      </c>
    </row>
    <row r="170" spans="1:3">
      <c r="A170" s="5">
        <v>46238</v>
      </c>
      <c r="B170" s="3" t="s">
        <v>584</v>
      </c>
      <c r="C170" s="4">
        <v>-5</v>
      </c>
    </row>
    <row r="171" spans="1:3">
      <c r="A171" s="5">
        <v>46239</v>
      </c>
      <c r="B171" s="3" t="s">
        <v>581</v>
      </c>
      <c r="C171" s="4">
        <v>-42</v>
      </c>
    </row>
    <row r="172" spans="1:3">
      <c r="A172" s="5">
        <v>46239</v>
      </c>
      <c r="B172" s="3" t="s">
        <v>581</v>
      </c>
      <c r="C172" s="4">
        <v>-42</v>
      </c>
    </row>
    <row r="173" spans="1:3">
      <c r="A173" s="5">
        <v>46239</v>
      </c>
      <c r="B173" s="3" t="s">
        <v>581</v>
      </c>
      <c r="C173" s="4">
        <v>-6.5</v>
      </c>
    </row>
    <row r="174" spans="1:3">
      <c r="A174" s="5">
        <v>46239</v>
      </c>
      <c r="B174" s="3" t="s">
        <v>582</v>
      </c>
      <c r="C174" s="4">
        <v>2395.12</v>
      </c>
    </row>
    <row r="175" spans="1:3">
      <c r="A175" s="5">
        <v>46239</v>
      </c>
      <c r="B175" s="3" t="s">
        <v>582</v>
      </c>
      <c r="C175" s="4">
        <v>903.8200000000001</v>
      </c>
    </row>
    <row r="176" spans="1:3">
      <c r="A176" s="5">
        <v>46239</v>
      </c>
      <c r="B176" s="3" t="s">
        <v>582</v>
      </c>
      <c r="C176" s="4">
        <v>94.47</v>
      </c>
    </row>
    <row r="177" spans="1:3">
      <c r="A177" s="5">
        <v>46239</v>
      </c>
      <c r="B177" s="3" t="s">
        <v>582</v>
      </c>
      <c r="C177" s="4">
        <v>2118.67</v>
      </c>
    </row>
    <row r="178" spans="1:3">
      <c r="A178" s="5">
        <v>46239</v>
      </c>
      <c r="B178" s="3" t="s">
        <v>582</v>
      </c>
      <c r="C178" s="4">
        <v>62.62</v>
      </c>
    </row>
    <row r="179" spans="1:3">
      <c r="A179" s="5">
        <v>46239</v>
      </c>
      <c r="B179" s="3" t="s">
        <v>582</v>
      </c>
      <c r="C179" s="4">
        <v>782.79</v>
      </c>
    </row>
    <row r="180" spans="1:3">
      <c r="A180" s="5">
        <v>46239</v>
      </c>
      <c r="B180" s="3" t="s">
        <v>582</v>
      </c>
      <c r="C180" s="4">
        <v>1195.23</v>
      </c>
    </row>
    <row r="181" spans="1:3">
      <c r="A181" s="5">
        <v>46239</v>
      </c>
      <c r="B181" s="3" t="s">
        <v>582</v>
      </c>
      <c r="C181" s="4">
        <v>1347.84</v>
      </c>
    </row>
    <row r="182" spans="1:3">
      <c r="A182" s="5">
        <v>46240</v>
      </c>
      <c r="B182" s="3" t="s">
        <v>581</v>
      </c>
      <c r="C182" s="4">
        <v>-42</v>
      </c>
    </row>
    <row r="183" spans="1:3">
      <c r="A183" s="5">
        <v>46240</v>
      </c>
      <c r="B183" s="3" t="s">
        <v>581</v>
      </c>
      <c r="C183" s="4">
        <v>-6.5</v>
      </c>
    </row>
    <row r="184" spans="1:3">
      <c r="A184" s="5">
        <v>46241</v>
      </c>
      <c r="B184" s="3" t="s">
        <v>581</v>
      </c>
      <c r="C184" s="4">
        <v>-6.5</v>
      </c>
    </row>
    <row r="185" spans="1:3">
      <c r="A185" s="5">
        <v>46241</v>
      </c>
      <c r="B185" s="3" t="s">
        <v>581</v>
      </c>
      <c r="C185" s="4">
        <v>-6.5</v>
      </c>
    </row>
    <row r="186" spans="1:3">
      <c r="A186" s="5">
        <v>46241</v>
      </c>
      <c r="B186" s="3" t="s">
        <v>582</v>
      </c>
      <c r="C186" s="4">
        <v>798.34</v>
      </c>
    </row>
    <row r="187" spans="1:3">
      <c r="A187" s="5">
        <v>46241</v>
      </c>
      <c r="B187" s="3" t="s">
        <v>582</v>
      </c>
      <c r="C187" s="4">
        <v>1558.61</v>
      </c>
    </row>
    <row r="188" spans="1:3">
      <c r="A188" s="5">
        <v>46242</v>
      </c>
      <c r="B188" s="3" t="s">
        <v>581</v>
      </c>
      <c r="C188" s="4">
        <v>-6.5</v>
      </c>
    </row>
    <row r="189" spans="1:3">
      <c r="A189" s="5">
        <v>46242</v>
      </c>
      <c r="B189" s="3" t="s">
        <v>581</v>
      </c>
      <c r="C189" s="4">
        <v>-42</v>
      </c>
    </row>
    <row r="190" spans="1:3">
      <c r="A190" s="5">
        <v>46243</v>
      </c>
      <c r="B190" s="3" t="s">
        <v>581</v>
      </c>
      <c r="C190" s="4">
        <v>-42</v>
      </c>
    </row>
    <row r="191" spans="1:3">
      <c r="A191" s="5">
        <v>46243</v>
      </c>
      <c r="B191" s="3" t="s">
        <v>581</v>
      </c>
      <c r="C191" s="4">
        <v>-6.5</v>
      </c>
    </row>
    <row r="192" spans="1:3">
      <c r="A192" s="5">
        <v>46243</v>
      </c>
      <c r="B192" s="3" t="s">
        <v>581</v>
      </c>
      <c r="C192" s="4">
        <v>-42</v>
      </c>
    </row>
    <row r="193" spans="1:3">
      <c r="A193" s="5">
        <v>46243</v>
      </c>
      <c r="B193" s="3" t="s">
        <v>582</v>
      </c>
      <c r="C193" s="4">
        <v>19.18</v>
      </c>
    </row>
    <row r="194" spans="1:3">
      <c r="A194" s="5">
        <v>46243</v>
      </c>
      <c r="B194" s="3" t="s">
        <v>582</v>
      </c>
      <c r="C194" s="4">
        <v>58.06</v>
      </c>
    </row>
    <row r="195" spans="1:3">
      <c r="A195" s="5">
        <v>46243</v>
      </c>
      <c r="B195" s="3" t="s">
        <v>582</v>
      </c>
      <c r="C195" s="4">
        <v>1406.05</v>
      </c>
    </row>
    <row r="196" spans="1:3">
      <c r="A196" s="5">
        <v>46243</v>
      </c>
      <c r="B196" s="3" t="s">
        <v>582</v>
      </c>
      <c r="C196" s="4">
        <v>825.86</v>
      </c>
    </row>
    <row r="197" spans="1:3">
      <c r="A197" s="5">
        <v>46243</v>
      </c>
      <c r="B197" s="3" t="s">
        <v>582</v>
      </c>
      <c r="C197" s="4">
        <v>1310.85</v>
      </c>
    </row>
    <row r="198" spans="1:3">
      <c r="A198" s="5">
        <v>46243</v>
      </c>
      <c r="B198" s="3" t="s">
        <v>582</v>
      </c>
      <c r="C198" s="4">
        <v>1227.08</v>
      </c>
    </row>
    <row r="199" spans="1:3">
      <c r="A199" s="5">
        <v>46243</v>
      </c>
      <c r="B199" s="3" t="s">
        <v>583</v>
      </c>
      <c r="C199" s="4">
        <v>-1.37</v>
      </c>
    </row>
    <row r="200" spans="1:3">
      <c r="A200" s="5">
        <v>46243</v>
      </c>
      <c r="B200" s="3" t="s">
        <v>584</v>
      </c>
      <c r="C200" s="4">
        <v>-5</v>
      </c>
    </row>
    <row r="201" spans="1:3">
      <c r="A201" s="5">
        <v>46244</v>
      </c>
      <c r="B201" s="3" t="s">
        <v>583</v>
      </c>
      <c r="C201" s="4">
        <v>-180.31</v>
      </c>
    </row>
    <row r="202" spans="1:3">
      <c r="A202" s="5">
        <v>46244</v>
      </c>
      <c r="B202" s="3" t="s">
        <v>584</v>
      </c>
      <c r="C202" s="4">
        <v>-5</v>
      </c>
    </row>
    <row r="203" spans="1:3">
      <c r="A203" s="5">
        <v>46245</v>
      </c>
      <c r="B203" s="3" t="s">
        <v>581</v>
      </c>
      <c r="C203" s="4">
        <v>-42</v>
      </c>
    </row>
    <row r="204" spans="1:3">
      <c r="A204" s="5">
        <v>46245</v>
      </c>
      <c r="B204" s="3" t="s">
        <v>581</v>
      </c>
      <c r="C204" s="4">
        <v>-6.5</v>
      </c>
    </row>
    <row r="205" spans="1:3">
      <c r="A205" s="5">
        <v>46245</v>
      </c>
      <c r="B205" s="3" t="s">
        <v>582</v>
      </c>
      <c r="C205" s="4">
        <v>71.15000000000001</v>
      </c>
    </row>
    <row r="206" spans="1:3">
      <c r="A206" s="5">
        <v>46245</v>
      </c>
      <c r="B206" s="3" t="s">
        <v>582</v>
      </c>
      <c r="C206" s="4">
        <v>15.05</v>
      </c>
    </row>
    <row r="207" spans="1:3">
      <c r="A207" s="5">
        <v>46246</v>
      </c>
      <c r="B207" s="3" t="s">
        <v>581</v>
      </c>
      <c r="C207" s="4">
        <v>-42</v>
      </c>
    </row>
    <row r="208" spans="1:3">
      <c r="A208" s="5">
        <v>46246</v>
      </c>
      <c r="B208" s="3" t="s">
        <v>581</v>
      </c>
      <c r="C208" s="4">
        <v>-6.5</v>
      </c>
    </row>
    <row r="209" spans="1:3">
      <c r="A209" s="5">
        <v>46246</v>
      </c>
      <c r="B209" s="3" t="s">
        <v>581</v>
      </c>
      <c r="C209" s="4">
        <v>-42</v>
      </c>
    </row>
    <row r="210" spans="1:3">
      <c r="A210" s="5">
        <v>46247</v>
      </c>
      <c r="B210" s="3" t="s">
        <v>581</v>
      </c>
      <c r="C210" s="4">
        <v>-42</v>
      </c>
    </row>
    <row r="211" spans="1:3">
      <c r="A211" s="5">
        <v>46247</v>
      </c>
      <c r="B211" s="3" t="s">
        <v>581</v>
      </c>
      <c r="C211" s="4">
        <v>-42</v>
      </c>
    </row>
    <row r="212" spans="1:3">
      <c r="A212" s="5">
        <v>46247</v>
      </c>
      <c r="B212" s="3" t="s">
        <v>582</v>
      </c>
      <c r="C212" s="4">
        <v>1969.11</v>
      </c>
    </row>
    <row r="213" spans="1:3">
      <c r="A213" s="5">
        <v>46247</v>
      </c>
      <c r="B213" s="3" t="s">
        <v>582</v>
      </c>
      <c r="C213" s="4">
        <v>675.47</v>
      </c>
    </row>
    <row r="214" spans="1:3">
      <c r="A214" s="5">
        <v>46247</v>
      </c>
      <c r="B214" s="3" t="s">
        <v>582</v>
      </c>
      <c r="C214" s="4">
        <v>1926.72</v>
      </c>
    </row>
    <row r="215" spans="1:3">
      <c r="A215" s="5">
        <v>46247</v>
      </c>
      <c r="B215" s="3" t="s">
        <v>582</v>
      </c>
      <c r="C215" s="4">
        <v>35.64</v>
      </c>
    </row>
    <row r="216" spans="1:3">
      <c r="A216" s="5">
        <v>46247</v>
      </c>
      <c r="B216" s="3" t="s">
        <v>582</v>
      </c>
      <c r="C216" s="4">
        <v>913.8</v>
      </c>
    </row>
    <row r="217" spans="1:3">
      <c r="A217" s="5">
        <v>46247</v>
      </c>
      <c r="B217" s="3" t="s">
        <v>582</v>
      </c>
      <c r="C217" s="4">
        <v>129.49</v>
      </c>
    </row>
    <row r="218" spans="1:3">
      <c r="A218" s="5">
        <v>46247</v>
      </c>
      <c r="B218" s="3" t="s">
        <v>582</v>
      </c>
      <c r="C218" s="4">
        <v>1172.31</v>
      </c>
    </row>
    <row r="219" spans="1:3">
      <c r="A219" s="5">
        <v>46247</v>
      </c>
      <c r="B219" s="3" t="s">
        <v>582</v>
      </c>
      <c r="C219" s="4">
        <v>979.41</v>
      </c>
    </row>
    <row r="220" spans="1:3">
      <c r="A220" s="5">
        <v>46248</v>
      </c>
      <c r="B220" s="3" t="s">
        <v>581</v>
      </c>
      <c r="C220" s="4">
        <v>-42</v>
      </c>
    </row>
    <row r="221" spans="1:3">
      <c r="A221" s="5">
        <v>46248</v>
      </c>
      <c r="B221" s="3" t="s">
        <v>581</v>
      </c>
      <c r="C221" s="4">
        <v>-42</v>
      </c>
    </row>
    <row r="222" spans="1:3">
      <c r="A222" s="5">
        <v>46248</v>
      </c>
      <c r="B222" s="3" t="s">
        <v>583</v>
      </c>
      <c r="C222" s="4">
        <v>-100.1</v>
      </c>
    </row>
    <row r="223" spans="1:3">
      <c r="A223" s="5">
        <v>46248</v>
      </c>
      <c r="B223" s="3" t="s">
        <v>584</v>
      </c>
      <c r="C223" s="4">
        <v>-5</v>
      </c>
    </row>
    <row r="224" spans="1:3">
      <c r="A224" s="5">
        <v>46249</v>
      </c>
      <c r="B224" s="3" t="s">
        <v>581</v>
      </c>
      <c r="C224" s="4">
        <v>-42</v>
      </c>
    </row>
    <row r="225" spans="1:3">
      <c r="A225" s="5">
        <v>46249</v>
      </c>
      <c r="B225" s="3" t="s">
        <v>581</v>
      </c>
      <c r="C225" s="4">
        <v>-42</v>
      </c>
    </row>
    <row r="226" spans="1:3">
      <c r="A226" s="5">
        <v>46249</v>
      </c>
      <c r="B226" s="3" t="s">
        <v>582</v>
      </c>
      <c r="C226" s="4">
        <v>1837.66</v>
      </c>
    </row>
    <row r="227" spans="1:3">
      <c r="A227" s="5">
        <v>46250</v>
      </c>
      <c r="B227" s="3" t="s">
        <v>581</v>
      </c>
      <c r="C227" s="4">
        <v>-42</v>
      </c>
    </row>
    <row r="228" spans="1:3">
      <c r="A228" s="5">
        <v>46250</v>
      </c>
      <c r="B228" s="3" t="s">
        <v>581</v>
      </c>
      <c r="C228" s="4">
        <v>-42</v>
      </c>
    </row>
    <row r="229" spans="1:3">
      <c r="A229" s="5">
        <v>46250</v>
      </c>
      <c r="B229" s="3" t="s">
        <v>581</v>
      </c>
      <c r="C229" s="4">
        <v>-6.5</v>
      </c>
    </row>
    <row r="230" spans="1:3">
      <c r="A230" s="5">
        <v>46251</v>
      </c>
      <c r="B230" s="3" t="s">
        <v>581</v>
      </c>
      <c r="C230" s="4">
        <v>-6.5</v>
      </c>
    </row>
    <row r="231" spans="1:3">
      <c r="A231" s="5">
        <v>46251</v>
      </c>
      <c r="B231" s="3" t="s">
        <v>581</v>
      </c>
      <c r="C231" s="4">
        <v>-6.5</v>
      </c>
    </row>
    <row r="232" spans="1:3">
      <c r="A232" s="5">
        <v>46251</v>
      </c>
      <c r="B232" s="3" t="s">
        <v>582</v>
      </c>
      <c r="C232" s="4">
        <v>2137.36</v>
      </c>
    </row>
    <row r="233" spans="1:3">
      <c r="A233" s="5">
        <v>46251</v>
      </c>
      <c r="B233" s="3" t="s">
        <v>582</v>
      </c>
      <c r="C233" s="4">
        <v>1747.5</v>
      </c>
    </row>
    <row r="234" spans="1:3">
      <c r="A234" s="5">
        <v>46251</v>
      </c>
      <c r="B234" s="3" t="s">
        <v>582</v>
      </c>
      <c r="C234" s="4">
        <v>120.38</v>
      </c>
    </row>
    <row r="235" spans="1:3">
      <c r="A235" s="5">
        <v>46252</v>
      </c>
      <c r="B235" s="3" t="s">
        <v>581</v>
      </c>
      <c r="C235" s="4">
        <v>-42</v>
      </c>
    </row>
    <row r="236" spans="1:3">
      <c r="A236" s="5">
        <v>46252</v>
      </c>
      <c r="B236" s="3" t="s">
        <v>581</v>
      </c>
      <c r="C236" s="4">
        <v>-42</v>
      </c>
    </row>
    <row r="237" spans="1:3">
      <c r="A237" s="5">
        <v>46252</v>
      </c>
      <c r="B237" s="3" t="s">
        <v>583</v>
      </c>
      <c r="C237" s="4">
        <v>-142.1</v>
      </c>
    </row>
    <row r="238" spans="1:3">
      <c r="A238" s="5">
        <v>46252</v>
      </c>
      <c r="B238" s="3" t="s">
        <v>584</v>
      </c>
      <c r="C238" s="4">
        <v>-5</v>
      </c>
    </row>
    <row r="239" spans="1:3">
      <c r="A239" s="5">
        <v>46253</v>
      </c>
      <c r="B239" s="3" t="s">
        <v>581</v>
      </c>
      <c r="C239" s="4">
        <v>-42</v>
      </c>
    </row>
    <row r="240" spans="1:3">
      <c r="A240" s="5">
        <v>46253</v>
      </c>
      <c r="B240" s="3" t="s">
        <v>581</v>
      </c>
      <c r="C240" s="4">
        <v>-6.5</v>
      </c>
    </row>
    <row r="241" spans="1:3">
      <c r="A241" s="5">
        <v>46253</v>
      </c>
      <c r="B241" s="3" t="s">
        <v>582</v>
      </c>
      <c r="C241" s="4">
        <v>1033.16</v>
      </c>
    </row>
    <row r="242" spans="1:3">
      <c r="A242" s="5">
        <v>46253</v>
      </c>
      <c r="B242" s="3" t="s">
        <v>582</v>
      </c>
      <c r="C242" s="4">
        <v>2240.22</v>
      </c>
    </row>
    <row r="243" spans="1:3">
      <c r="A243" s="5">
        <v>46253</v>
      </c>
      <c r="B243" s="3" t="s">
        <v>582</v>
      </c>
      <c r="C243" s="4">
        <v>22.88</v>
      </c>
    </row>
    <row r="244" spans="1:3">
      <c r="A244" s="5">
        <v>46253</v>
      </c>
      <c r="B244" s="3" t="s">
        <v>583</v>
      </c>
      <c r="C244" s="4">
        <v>-169.28</v>
      </c>
    </row>
    <row r="245" spans="1:3">
      <c r="A245" s="5">
        <v>46253</v>
      </c>
      <c r="B245" s="3" t="s">
        <v>584</v>
      </c>
      <c r="C245" s="4">
        <v>-5</v>
      </c>
    </row>
    <row r="246" spans="1:3">
      <c r="A246" s="5">
        <v>46254</v>
      </c>
      <c r="B246" s="3" t="s">
        <v>581</v>
      </c>
      <c r="C246" s="4">
        <v>-6.5</v>
      </c>
    </row>
    <row r="247" spans="1:3">
      <c r="A247" s="5">
        <v>46254</v>
      </c>
      <c r="B247" s="3" t="s">
        <v>581</v>
      </c>
      <c r="C247" s="4">
        <v>-6.5</v>
      </c>
    </row>
    <row r="248" spans="1:3">
      <c r="A248" s="5">
        <v>46255</v>
      </c>
      <c r="B248" s="3" t="s">
        <v>581</v>
      </c>
      <c r="C248" s="4">
        <v>-6.5</v>
      </c>
    </row>
    <row r="249" spans="1:3">
      <c r="A249" s="5">
        <v>46255</v>
      </c>
      <c r="B249" s="3" t="s">
        <v>581</v>
      </c>
      <c r="C249" s="4">
        <v>-42</v>
      </c>
    </row>
    <row r="250" spans="1:3">
      <c r="A250" s="5">
        <v>46255</v>
      </c>
      <c r="B250" s="3" t="s">
        <v>582</v>
      </c>
      <c r="C250" s="4">
        <v>778.3200000000001</v>
      </c>
    </row>
    <row r="251" spans="1:3">
      <c r="A251" s="5">
        <v>46255</v>
      </c>
      <c r="B251" s="3" t="s">
        <v>582</v>
      </c>
      <c r="C251" s="4">
        <v>74.65000000000001</v>
      </c>
    </row>
    <row r="252" spans="1:3">
      <c r="A252" s="5">
        <v>46255</v>
      </c>
      <c r="B252" s="3" t="s">
        <v>582</v>
      </c>
      <c r="C252" s="4">
        <v>502.89</v>
      </c>
    </row>
    <row r="253" spans="1:3">
      <c r="A253" s="5">
        <v>46255</v>
      </c>
      <c r="B253" s="3" t="s">
        <v>582</v>
      </c>
      <c r="C253" s="4">
        <v>2187.47</v>
      </c>
    </row>
    <row r="254" spans="1:3">
      <c r="A254" s="5">
        <v>46255</v>
      </c>
      <c r="B254" s="3" t="s">
        <v>582</v>
      </c>
      <c r="C254" s="4">
        <v>43.16</v>
      </c>
    </row>
    <row r="255" spans="1:3">
      <c r="A255" s="5">
        <v>46255</v>
      </c>
      <c r="B255" s="3" t="s">
        <v>582</v>
      </c>
      <c r="C255" s="4">
        <v>1623.86</v>
      </c>
    </row>
    <row r="256" spans="1:3">
      <c r="A256" s="5">
        <v>46256</v>
      </c>
      <c r="B256" s="3" t="s">
        <v>581</v>
      </c>
      <c r="C256" s="4">
        <v>-42</v>
      </c>
    </row>
    <row r="257" spans="1:3">
      <c r="A257" s="5">
        <v>46256</v>
      </c>
      <c r="B257" s="3" t="s">
        <v>581</v>
      </c>
      <c r="C257" s="4">
        <v>-6.5</v>
      </c>
    </row>
    <row r="258" spans="1:3">
      <c r="A258" s="5">
        <v>46256</v>
      </c>
      <c r="B258" s="3" t="s">
        <v>583</v>
      </c>
      <c r="C258" s="4">
        <v>-14.59</v>
      </c>
    </row>
    <row r="259" spans="1:3">
      <c r="A259" s="5">
        <v>46256</v>
      </c>
      <c r="B259" s="3" t="s">
        <v>584</v>
      </c>
      <c r="C259" s="4">
        <v>-5</v>
      </c>
    </row>
    <row r="260" spans="1:3">
      <c r="A260" s="5">
        <v>46257</v>
      </c>
      <c r="B260" s="3" t="s">
        <v>581</v>
      </c>
      <c r="C260" s="4">
        <v>-42</v>
      </c>
    </row>
    <row r="261" spans="1:3">
      <c r="A261" s="5">
        <v>46257</v>
      </c>
      <c r="B261" s="3" t="s">
        <v>581</v>
      </c>
      <c r="C261" s="4">
        <v>-42</v>
      </c>
    </row>
    <row r="262" spans="1:3">
      <c r="A262" s="5">
        <v>46257</v>
      </c>
      <c r="B262" s="3" t="s">
        <v>581</v>
      </c>
      <c r="C262" s="4">
        <v>-42</v>
      </c>
    </row>
    <row r="263" spans="1:3">
      <c r="A263" s="5">
        <v>46257</v>
      </c>
      <c r="B263" s="3" t="s">
        <v>582</v>
      </c>
      <c r="C263" s="4">
        <v>1018.6</v>
      </c>
    </row>
    <row r="264" spans="1:3">
      <c r="A264" s="5">
        <v>46257</v>
      </c>
      <c r="B264" s="3" t="s">
        <v>582</v>
      </c>
      <c r="C264" s="4">
        <v>55.18</v>
      </c>
    </row>
    <row r="265" spans="1:3">
      <c r="A265" s="5">
        <v>46257</v>
      </c>
      <c r="B265" s="3" t="s">
        <v>582</v>
      </c>
      <c r="C265" s="4">
        <v>939.75</v>
      </c>
    </row>
    <row r="266" spans="1:3">
      <c r="A266" s="5">
        <v>46257</v>
      </c>
      <c r="B266" s="3" t="s">
        <v>583</v>
      </c>
      <c r="C266" s="4">
        <v>-1.03</v>
      </c>
    </row>
    <row r="267" spans="1:3">
      <c r="A267" s="5">
        <v>46257</v>
      </c>
      <c r="B267" s="3" t="s">
        <v>584</v>
      </c>
      <c r="C267" s="4">
        <v>-5</v>
      </c>
    </row>
    <row r="268" spans="1:3">
      <c r="A268" s="5">
        <v>46258</v>
      </c>
      <c r="B268" s="3" t="s">
        <v>581</v>
      </c>
      <c r="C268" s="4">
        <v>-6.5</v>
      </c>
    </row>
    <row r="269" spans="1:3">
      <c r="A269" s="5">
        <v>46258</v>
      </c>
      <c r="B269" s="3" t="s">
        <v>581</v>
      </c>
      <c r="C269" s="4">
        <v>-42</v>
      </c>
    </row>
    <row r="270" spans="1:3">
      <c r="A270" s="5">
        <v>46258</v>
      </c>
      <c r="B270" s="3" t="s">
        <v>583</v>
      </c>
      <c r="C270" s="4">
        <v>-94.73</v>
      </c>
    </row>
    <row r="271" spans="1:3">
      <c r="A271" s="5">
        <v>46258</v>
      </c>
      <c r="B271" s="3" t="s">
        <v>584</v>
      </c>
      <c r="C271" s="4">
        <v>-5</v>
      </c>
    </row>
    <row r="272" spans="1:3">
      <c r="A272" s="5">
        <v>46259</v>
      </c>
      <c r="B272" s="3" t="s">
        <v>581</v>
      </c>
      <c r="C272" s="4">
        <v>-6.5</v>
      </c>
    </row>
    <row r="273" spans="1:3">
      <c r="A273" s="5">
        <v>46259</v>
      </c>
      <c r="B273" s="3" t="s">
        <v>581</v>
      </c>
      <c r="C273" s="4">
        <v>-6.5</v>
      </c>
    </row>
    <row r="274" spans="1:3">
      <c r="A274" s="5">
        <v>46259</v>
      </c>
      <c r="B274" s="3" t="s">
        <v>581</v>
      </c>
      <c r="C274" s="4">
        <v>-42</v>
      </c>
    </row>
    <row r="275" spans="1:3">
      <c r="A275" s="5">
        <v>46259</v>
      </c>
      <c r="B275" s="3" t="s">
        <v>582</v>
      </c>
      <c r="C275" s="4">
        <v>50.79</v>
      </c>
    </row>
    <row r="276" spans="1:3">
      <c r="A276" s="5">
        <v>46259</v>
      </c>
      <c r="B276" s="3" t="s">
        <v>582</v>
      </c>
      <c r="C276" s="4">
        <v>123.68</v>
      </c>
    </row>
    <row r="277" spans="1:3">
      <c r="A277" s="5">
        <v>46259</v>
      </c>
      <c r="B277" s="3" t="s">
        <v>582</v>
      </c>
      <c r="C277" s="4">
        <v>1096.13</v>
      </c>
    </row>
    <row r="278" spans="1:3">
      <c r="A278" s="5">
        <v>46259</v>
      </c>
      <c r="B278" s="3" t="s">
        <v>582</v>
      </c>
      <c r="C278" s="4">
        <v>1318.18</v>
      </c>
    </row>
    <row r="279" spans="1:3">
      <c r="A279" s="5">
        <v>46259</v>
      </c>
      <c r="B279" s="3" t="s">
        <v>582</v>
      </c>
      <c r="C279" s="4">
        <v>850.25</v>
      </c>
    </row>
    <row r="280" spans="1:3">
      <c r="A280" s="5">
        <v>46259</v>
      </c>
      <c r="B280" s="3" t="s">
        <v>582</v>
      </c>
      <c r="C280" s="4">
        <v>1386.03</v>
      </c>
    </row>
    <row r="281" spans="1:3">
      <c r="A281" s="5">
        <v>46259</v>
      </c>
      <c r="B281" s="3" t="s">
        <v>583</v>
      </c>
      <c r="C281" s="4">
        <v>-132.17</v>
      </c>
    </row>
    <row r="282" spans="1:3">
      <c r="A282" s="5">
        <v>46259</v>
      </c>
      <c r="B282" s="3" t="s">
        <v>583</v>
      </c>
      <c r="C282" s="4">
        <v>-112.86</v>
      </c>
    </row>
    <row r="283" spans="1:3">
      <c r="A283" s="5">
        <v>46259</v>
      </c>
      <c r="B283" s="3" t="s">
        <v>584</v>
      </c>
      <c r="C283" s="4">
        <v>-5</v>
      </c>
    </row>
    <row r="284" spans="1:3">
      <c r="A284" s="5">
        <v>46259</v>
      </c>
      <c r="B284" s="3" t="s">
        <v>584</v>
      </c>
      <c r="C284" s="4">
        <v>-5</v>
      </c>
    </row>
    <row r="285" spans="1:3">
      <c r="A285" s="5">
        <v>46260</v>
      </c>
      <c r="B285" s="3" t="s">
        <v>581</v>
      </c>
      <c r="C285" s="4">
        <v>-42</v>
      </c>
    </row>
    <row r="286" spans="1:3">
      <c r="A286" s="5">
        <v>46260</v>
      </c>
      <c r="B286" s="3" t="s">
        <v>581</v>
      </c>
      <c r="C286" s="4">
        <v>-42</v>
      </c>
    </row>
    <row r="287" spans="1:3">
      <c r="A287" s="5">
        <v>46260</v>
      </c>
      <c r="B287" s="3" t="s">
        <v>583</v>
      </c>
      <c r="C287" s="4">
        <v>-5.23</v>
      </c>
    </row>
    <row r="288" spans="1:3">
      <c r="A288" s="5">
        <v>46260</v>
      </c>
      <c r="B288" s="3" t="s">
        <v>584</v>
      </c>
      <c r="C288" s="4">
        <v>-5</v>
      </c>
    </row>
    <row r="289" spans="1:3">
      <c r="A289" s="5">
        <v>46261</v>
      </c>
      <c r="B289" s="3" t="s">
        <v>581</v>
      </c>
      <c r="C289" s="4">
        <v>-6.5</v>
      </c>
    </row>
    <row r="290" spans="1:3">
      <c r="A290" s="5">
        <v>46261</v>
      </c>
      <c r="B290" s="3" t="s">
        <v>581</v>
      </c>
      <c r="C290" s="4">
        <v>-42</v>
      </c>
    </row>
    <row r="291" spans="1:3">
      <c r="A291" s="5">
        <v>46261</v>
      </c>
      <c r="B291" s="3" t="s">
        <v>582</v>
      </c>
      <c r="C291" s="4">
        <v>1241.42</v>
      </c>
    </row>
    <row r="292" spans="1:3">
      <c r="A292" s="5">
        <v>46261</v>
      </c>
      <c r="B292" s="3" t="s">
        <v>582</v>
      </c>
      <c r="C292" s="4">
        <v>2341.86</v>
      </c>
    </row>
    <row r="293" spans="1:3">
      <c r="A293" s="5">
        <v>46261</v>
      </c>
      <c r="B293" s="3" t="s">
        <v>583</v>
      </c>
      <c r="C293" s="4">
        <v>-14.48</v>
      </c>
    </row>
    <row r="294" spans="1:3">
      <c r="A294" s="5">
        <v>46261</v>
      </c>
      <c r="B294" s="3" t="s">
        <v>584</v>
      </c>
      <c r="C294" s="4">
        <v>-5</v>
      </c>
    </row>
    <row r="295" spans="1:3">
      <c r="A295" s="5">
        <v>46262</v>
      </c>
      <c r="B295" s="3" t="s">
        <v>581</v>
      </c>
      <c r="C295" s="4">
        <v>-42</v>
      </c>
    </row>
    <row r="296" spans="1:3">
      <c r="A296" s="5">
        <v>46262</v>
      </c>
      <c r="B296" s="3" t="s">
        <v>581</v>
      </c>
      <c r="C296" s="4">
        <v>-42</v>
      </c>
    </row>
    <row r="297" spans="1:3">
      <c r="A297" s="5">
        <v>46262</v>
      </c>
      <c r="B297" s="3" t="s">
        <v>583</v>
      </c>
      <c r="C297" s="4">
        <v>-9.73</v>
      </c>
    </row>
    <row r="298" spans="1:3">
      <c r="A298" s="5">
        <v>46262</v>
      </c>
      <c r="B298" s="3" t="s">
        <v>584</v>
      </c>
      <c r="C298" s="4">
        <v>-5</v>
      </c>
    </row>
    <row r="299" spans="1:3">
      <c r="A299" s="5">
        <v>46263</v>
      </c>
      <c r="B299" s="3" t="s">
        <v>581</v>
      </c>
      <c r="C299" s="4">
        <v>-42</v>
      </c>
    </row>
    <row r="300" spans="1:3">
      <c r="A300" s="5">
        <v>46263</v>
      </c>
      <c r="B300" s="3" t="s">
        <v>581</v>
      </c>
      <c r="C300" s="4">
        <v>-42</v>
      </c>
    </row>
    <row r="301" spans="1:3">
      <c r="A301" s="5">
        <v>46263</v>
      </c>
      <c r="B301" s="3" t="s">
        <v>582</v>
      </c>
      <c r="C301" s="4">
        <v>854.98</v>
      </c>
    </row>
    <row r="302" spans="1:3">
      <c r="A302" s="5">
        <v>46263</v>
      </c>
      <c r="B302" s="3" t="s">
        <v>582</v>
      </c>
      <c r="C302" s="4">
        <v>2213.94</v>
      </c>
    </row>
    <row r="303" spans="1:3">
      <c r="A303" s="5">
        <v>46263</v>
      </c>
      <c r="B303" s="3" t="s">
        <v>582</v>
      </c>
      <c r="C303" s="4">
        <v>23.97</v>
      </c>
    </row>
    <row r="304" spans="1:3">
      <c r="A304" s="5">
        <v>46263</v>
      </c>
      <c r="B304" s="3" t="s">
        <v>582</v>
      </c>
      <c r="C304" s="4">
        <v>1770.42</v>
      </c>
    </row>
    <row r="305" spans="1:3">
      <c r="A305" s="5">
        <v>46263</v>
      </c>
      <c r="B305" s="3" t="s">
        <v>582</v>
      </c>
      <c r="C305" s="4">
        <v>996.46</v>
      </c>
    </row>
    <row r="306" spans="1:3">
      <c r="A306" s="5">
        <v>46263</v>
      </c>
      <c r="B306" s="3" t="s">
        <v>583</v>
      </c>
      <c r="C306" s="4">
        <v>-99.06999999999999</v>
      </c>
    </row>
    <row r="307" spans="1:3">
      <c r="A307" s="5">
        <v>46263</v>
      </c>
      <c r="B307" s="3" t="s">
        <v>583</v>
      </c>
      <c r="C307" s="4">
        <v>-159.35</v>
      </c>
    </row>
    <row r="308" spans="1:3">
      <c r="A308" s="5">
        <v>46263</v>
      </c>
      <c r="B308" s="3" t="s">
        <v>583</v>
      </c>
      <c r="C308" s="4">
        <v>-0.68</v>
      </c>
    </row>
    <row r="309" spans="1:3">
      <c r="A309" s="5">
        <v>46263</v>
      </c>
      <c r="B309" s="3" t="s">
        <v>584</v>
      </c>
      <c r="C309" s="4">
        <v>-5</v>
      </c>
    </row>
    <row r="310" spans="1:3">
      <c r="A310" s="5">
        <v>46263</v>
      </c>
      <c r="B310" s="3" t="s">
        <v>584</v>
      </c>
      <c r="C310" s="4">
        <v>-5</v>
      </c>
    </row>
    <row r="311" spans="1:3">
      <c r="A311" s="5">
        <v>46263</v>
      </c>
      <c r="B311" s="3" t="s">
        <v>584</v>
      </c>
      <c r="C311" s="4">
        <v>-5</v>
      </c>
    </row>
    <row r="312" spans="1:3">
      <c r="A312" s="5">
        <v>46264</v>
      </c>
      <c r="B312" s="3" t="s">
        <v>581</v>
      </c>
      <c r="C312" s="4">
        <v>-42</v>
      </c>
    </row>
    <row r="313" spans="1:3">
      <c r="A313" s="5">
        <v>46264</v>
      </c>
      <c r="B313" s="3" t="s">
        <v>581</v>
      </c>
      <c r="C313" s="4">
        <v>-42</v>
      </c>
    </row>
    <row r="314" spans="1:3">
      <c r="A314" s="5">
        <v>46264</v>
      </c>
      <c r="B314" s="3" t="s">
        <v>581</v>
      </c>
      <c r="C314" s="4">
        <v>-6.5</v>
      </c>
    </row>
    <row r="315" spans="1:3">
      <c r="A315" s="5">
        <v>46265</v>
      </c>
      <c r="B315" s="3" t="s">
        <v>581</v>
      </c>
      <c r="C315" s="4">
        <v>-42</v>
      </c>
    </row>
    <row r="316" spans="1:3">
      <c r="A316" s="5">
        <v>46265</v>
      </c>
      <c r="B316" s="3" t="s">
        <v>582</v>
      </c>
      <c r="C316" s="4">
        <v>31.68</v>
      </c>
    </row>
    <row r="317" spans="1:3">
      <c r="A317" s="5">
        <v>46265</v>
      </c>
      <c r="B317" s="3" t="s">
        <v>582</v>
      </c>
      <c r="C317" s="4">
        <v>7.52</v>
      </c>
    </row>
    <row r="318" spans="1:3">
      <c r="A318" s="5">
        <v>46265</v>
      </c>
      <c r="B318" s="3" t="s">
        <v>583</v>
      </c>
      <c r="C318" s="4">
        <v>-179.78</v>
      </c>
    </row>
    <row r="319" spans="1:3">
      <c r="A319" s="5">
        <v>46265</v>
      </c>
      <c r="B319" s="3" t="s">
        <v>584</v>
      </c>
      <c r="C319" s="4">
        <v>-5</v>
      </c>
    </row>
    <row r="320" spans="1:3">
      <c r="A320" s="5">
        <v>46266</v>
      </c>
      <c r="B320" s="3" t="s">
        <v>585</v>
      </c>
      <c r="C320" s="4">
        <v>-31.35</v>
      </c>
    </row>
    <row r="321" spans="1:3">
      <c r="A321" s="5">
        <v>46266</v>
      </c>
      <c r="B321" s="3" t="s">
        <v>585</v>
      </c>
      <c r="C321" s="4">
        <v>-43.92</v>
      </c>
    </row>
    <row r="322" spans="1:3">
      <c r="A322" s="5">
        <v>46266</v>
      </c>
      <c r="B322" s="3" t="s">
        <v>585</v>
      </c>
      <c r="C322" s="4">
        <v>-17.16</v>
      </c>
    </row>
    <row r="323" spans="1:3">
      <c r="A323" s="5">
        <v>46266</v>
      </c>
      <c r="B323" s="3" t="s">
        <v>585</v>
      </c>
      <c r="C323" s="4">
        <v>-30.6</v>
      </c>
    </row>
    <row r="324" spans="1:3">
      <c r="A324" s="5">
        <v>46266</v>
      </c>
      <c r="B324" s="3" t="s">
        <v>585</v>
      </c>
      <c r="C324" s="4">
        <v>-40.2</v>
      </c>
    </row>
    <row r="325" spans="1:3">
      <c r="A325" s="5">
        <v>46266</v>
      </c>
      <c r="B325" s="3" t="s">
        <v>585</v>
      </c>
      <c r="C325" s="4">
        <v>-102.09</v>
      </c>
    </row>
    <row r="326" spans="1:3">
      <c r="A326" s="5">
        <v>46266</v>
      </c>
      <c r="B326" s="3" t="s">
        <v>581</v>
      </c>
      <c r="C326" s="4">
        <v>-42</v>
      </c>
    </row>
    <row r="327" spans="1:3">
      <c r="A327" s="5">
        <v>46266</v>
      </c>
      <c r="B327" s="3" t="s">
        <v>581</v>
      </c>
      <c r="C327" s="4">
        <v>-42</v>
      </c>
    </row>
    <row r="328" spans="1:3">
      <c r="A328" s="5">
        <v>46266</v>
      </c>
      <c r="B328" s="3" t="s">
        <v>581</v>
      </c>
      <c r="C328" s="4">
        <v>-6.5</v>
      </c>
    </row>
    <row r="329" spans="1:3">
      <c r="A329" s="5">
        <v>46266</v>
      </c>
      <c r="B329" s="3" t="s">
        <v>583</v>
      </c>
      <c r="C329" s="4">
        <v>-3.49</v>
      </c>
    </row>
    <row r="330" spans="1:3">
      <c r="A330" s="5">
        <v>46266</v>
      </c>
      <c r="B330" s="3" t="s">
        <v>584</v>
      </c>
      <c r="C330" s="4">
        <v>-5</v>
      </c>
    </row>
    <row r="331" spans="1:3">
      <c r="A331" s="5">
        <v>46267</v>
      </c>
      <c r="B331" s="3" t="s">
        <v>585</v>
      </c>
      <c r="C331" s="4">
        <v>-71.76000000000001</v>
      </c>
    </row>
    <row r="332" spans="1:3">
      <c r="A332" s="5">
        <v>46267</v>
      </c>
      <c r="B332" s="3" t="s">
        <v>585</v>
      </c>
      <c r="C332" s="4">
        <v>-30.03</v>
      </c>
    </row>
    <row r="333" spans="1:3">
      <c r="A333" s="5">
        <v>46267</v>
      </c>
      <c r="B333" s="3" t="s">
        <v>585</v>
      </c>
      <c r="C333" s="4">
        <v>-22.8</v>
      </c>
    </row>
    <row r="334" spans="1:3">
      <c r="A334" s="5">
        <v>46267</v>
      </c>
      <c r="B334" s="3" t="s">
        <v>585</v>
      </c>
      <c r="C334" s="4">
        <v>-106.5</v>
      </c>
    </row>
    <row r="335" spans="1:3">
      <c r="A335" s="5">
        <v>46267</v>
      </c>
      <c r="B335" s="3" t="s">
        <v>585</v>
      </c>
      <c r="C335" s="4">
        <v>-18.48</v>
      </c>
    </row>
    <row r="336" spans="1:3">
      <c r="A336" s="5">
        <v>46267</v>
      </c>
      <c r="B336" s="3" t="s">
        <v>585</v>
      </c>
      <c r="C336" s="4">
        <v>-11.06</v>
      </c>
    </row>
    <row r="337" spans="1:3">
      <c r="A337" s="5">
        <v>46267</v>
      </c>
      <c r="B337" s="3" t="s">
        <v>581</v>
      </c>
      <c r="C337" s="4">
        <v>-6.5</v>
      </c>
    </row>
    <row r="338" spans="1:3">
      <c r="A338" s="5">
        <v>46267</v>
      </c>
      <c r="B338" s="3" t="s">
        <v>581</v>
      </c>
      <c r="C338" s="4">
        <v>-42</v>
      </c>
    </row>
    <row r="339" spans="1:3">
      <c r="A339" s="5">
        <v>46267</v>
      </c>
      <c r="B339" s="3" t="s">
        <v>582</v>
      </c>
      <c r="C339" s="4">
        <v>1745.02</v>
      </c>
    </row>
    <row r="340" spans="1:3">
      <c r="A340" s="5">
        <v>46267</v>
      </c>
      <c r="B340" s="3" t="s">
        <v>582</v>
      </c>
      <c r="C340" s="4">
        <v>929.71</v>
      </c>
    </row>
    <row r="341" spans="1:3">
      <c r="A341" s="5">
        <v>46267</v>
      </c>
      <c r="B341" s="3" t="s">
        <v>582</v>
      </c>
      <c r="C341" s="4">
        <v>146.02</v>
      </c>
    </row>
    <row r="342" spans="1:3">
      <c r="A342" s="5">
        <v>46267</v>
      </c>
      <c r="B342" s="3" t="s">
        <v>582</v>
      </c>
      <c r="C342" s="4">
        <v>694.33</v>
      </c>
    </row>
    <row r="343" spans="1:3">
      <c r="A343" s="5">
        <v>46267</v>
      </c>
      <c r="B343" s="3" t="s">
        <v>582</v>
      </c>
      <c r="C343" s="4">
        <v>1534</v>
      </c>
    </row>
    <row r="344" spans="1:3">
      <c r="A344" s="5">
        <v>46267</v>
      </c>
      <c r="B344" s="3" t="s">
        <v>582</v>
      </c>
      <c r="C344" s="4">
        <v>254.21</v>
      </c>
    </row>
    <row r="345" spans="1:3">
      <c r="A345" s="5">
        <v>46267</v>
      </c>
      <c r="B345" s="3" t="s">
        <v>582</v>
      </c>
      <c r="C345" s="4">
        <v>22.72</v>
      </c>
    </row>
    <row r="346" spans="1:3">
      <c r="A346" s="5">
        <v>46267</v>
      </c>
      <c r="B346" s="3" t="s">
        <v>586</v>
      </c>
      <c r="C346" s="4">
        <v>-1056.96</v>
      </c>
    </row>
    <row r="347" spans="1:3">
      <c r="A347" s="5">
        <v>46267</v>
      </c>
      <c r="B347" s="3" t="s">
        <v>583</v>
      </c>
      <c r="C347" s="4">
        <v>-9.66</v>
      </c>
    </row>
    <row r="348" spans="1:3">
      <c r="A348" s="5">
        <v>46267</v>
      </c>
      <c r="B348" s="3" t="s">
        <v>584</v>
      </c>
      <c r="C348" s="4">
        <v>-5</v>
      </c>
    </row>
    <row r="349" spans="1:3">
      <c r="A349" s="5">
        <v>46268</v>
      </c>
      <c r="B349" s="3" t="s">
        <v>585</v>
      </c>
      <c r="C349" s="4">
        <v>-59.28</v>
      </c>
    </row>
    <row r="350" spans="1:3">
      <c r="A350" s="5">
        <v>46268</v>
      </c>
      <c r="B350" s="3" t="s">
        <v>585</v>
      </c>
      <c r="C350" s="4">
        <v>-76.56</v>
      </c>
    </row>
    <row r="351" spans="1:3">
      <c r="A351" s="5">
        <v>46268</v>
      </c>
      <c r="B351" s="3" t="s">
        <v>585</v>
      </c>
      <c r="C351" s="4">
        <v>-21.85</v>
      </c>
    </row>
    <row r="352" spans="1:3">
      <c r="A352" s="5">
        <v>46268</v>
      </c>
      <c r="B352" s="3" t="s">
        <v>585</v>
      </c>
      <c r="C352" s="4">
        <v>-75.68000000000001</v>
      </c>
    </row>
    <row r="353" spans="1:3">
      <c r="A353" s="5">
        <v>46268</v>
      </c>
      <c r="B353" s="3" t="s">
        <v>585</v>
      </c>
      <c r="C353" s="4">
        <v>-28.77</v>
      </c>
    </row>
    <row r="354" spans="1:3">
      <c r="A354" s="5">
        <v>46268</v>
      </c>
      <c r="B354" s="3" t="s">
        <v>585</v>
      </c>
      <c r="C354" s="4">
        <v>-21.58</v>
      </c>
    </row>
    <row r="355" spans="1:3">
      <c r="A355" s="5">
        <v>46268</v>
      </c>
      <c r="B355" s="3" t="s">
        <v>583</v>
      </c>
      <c r="C355" s="4">
        <v>-214.6</v>
      </c>
    </row>
    <row r="356" spans="1:3">
      <c r="A356" s="5">
        <v>46268</v>
      </c>
      <c r="B356" s="3" t="s">
        <v>584</v>
      </c>
      <c r="C356" s="4">
        <v>-5</v>
      </c>
    </row>
    <row r="357" spans="1:3">
      <c r="A357" s="5">
        <v>46269</v>
      </c>
      <c r="B357" s="3" t="s">
        <v>585</v>
      </c>
      <c r="C357" s="4">
        <v>-30.24</v>
      </c>
    </row>
    <row r="358" spans="1:3">
      <c r="A358" s="5">
        <v>46269</v>
      </c>
      <c r="B358" s="3" t="s">
        <v>585</v>
      </c>
      <c r="C358" s="4">
        <v>-18.18</v>
      </c>
    </row>
    <row r="359" spans="1:3">
      <c r="A359" s="5">
        <v>46269</v>
      </c>
      <c r="B359" s="3" t="s">
        <v>585</v>
      </c>
      <c r="C359" s="4">
        <v>-22.04</v>
      </c>
    </row>
    <row r="360" spans="1:3">
      <c r="A360" s="5">
        <v>46269</v>
      </c>
      <c r="B360" s="3" t="s">
        <v>585</v>
      </c>
      <c r="C360" s="4">
        <v>-53.24</v>
      </c>
    </row>
    <row r="361" spans="1:3">
      <c r="A361" s="5">
        <v>46269</v>
      </c>
      <c r="B361" s="3" t="s">
        <v>585</v>
      </c>
      <c r="C361" s="4">
        <v>-34.44</v>
      </c>
    </row>
    <row r="362" spans="1:3">
      <c r="A362" s="5">
        <v>46269</v>
      </c>
      <c r="B362" s="3" t="s">
        <v>585</v>
      </c>
      <c r="C362" s="4">
        <v>-100.8</v>
      </c>
    </row>
    <row r="363" spans="1:3">
      <c r="A363" s="5">
        <v>46269</v>
      </c>
      <c r="B363" s="3" t="s">
        <v>581</v>
      </c>
      <c r="C363" s="4">
        <v>-42</v>
      </c>
    </row>
    <row r="364" spans="1:3">
      <c r="A364" s="5">
        <v>46269</v>
      </c>
      <c r="B364" s="3" t="s">
        <v>582</v>
      </c>
      <c r="C364" s="4">
        <v>106.22</v>
      </c>
    </row>
    <row r="365" spans="1:3">
      <c r="A365" s="5">
        <v>46269</v>
      </c>
      <c r="B365" s="3" t="s">
        <v>582</v>
      </c>
      <c r="C365" s="4">
        <v>1036.73</v>
      </c>
    </row>
    <row r="366" spans="1:3">
      <c r="A366" s="5">
        <v>46269</v>
      </c>
      <c r="B366" s="3" t="s">
        <v>586</v>
      </c>
      <c r="C366" s="4">
        <v>-129.96</v>
      </c>
    </row>
    <row r="367" spans="1:3">
      <c r="A367" s="5">
        <v>46269</v>
      </c>
      <c r="B367" s="3" t="s">
        <v>583</v>
      </c>
      <c r="C367" s="4">
        <v>-66.04000000000001</v>
      </c>
    </row>
    <row r="368" spans="1:3">
      <c r="A368" s="5">
        <v>46269</v>
      </c>
      <c r="B368" s="3" t="s">
        <v>583</v>
      </c>
      <c r="C368" s="4">
        <v>-262.02</v>
      </c>
    </row>
    <row r="369" spans="1:3">
      <c r="A369" s="5">
        <v>46269</v>
      </c>
      <c r="B369" s="3" t="s">
        <v>584</v>
      </c>
      <c r="C369" s="4">
        <v>-5</v>
      </c>
    </row>
    <row r="370" spans="1:3">
      <c r="A370" s="5">
        <v>46269</v>
      </c>
      <c r="B370" s="3" t="s">
        <v>584</v>
      </c>
      <c r="C370" s="4">
        <v>-5</v>
      </c>
    </row>
    <row r="371" spans="1:3">
      <c r="A371" s="5">
        <v>46270</v>
      </c>
      <c r="B371" s="3" t="s">
        <v>585</v>
      </c>
      <c r="C371" s="4">
        <v>-10.92</v>
      </c>
    </row>
    <row r="372" spans="1:3">
      <c r="A372" s="5">
        <v>46270</v>
      </c>
      <c r="B372" s="3" t="s">
        <v>585</v>
      </c>
      <c r="C372" s="4">
        <v>-136.95</v>
      </c>
    </row>
    <row r="373" spans="1:3">
      <c r="A373" s="5">
        <v>46270</v>
      </c>
      <c r="B373" s="3" t="s">
        <v>585</v>
      </c>
      <c r="C373" s="4">
        <v>-78.12</v>
      </c>
    </row>
    <row r="374" spans="1:3">
      <c r="A374" s="5">
        <v>46270</v>
      </c>
      <c r="B374" s="3" t="s">
        <v>585</v>
      </c>
      <c r="C374" s="4">
        <v>-57.51</v>
      </c>
    </row>
    <row r="375" spans="1:3">
      <c r="A375" s="5">
        <v>46270</v>
      </c>
      <c r="B375" s="3" t="s">
        <v>585</v>
      </c>
      <c r="C375" s="4">
        <v>-18.2</v>
      </c>
    </row>
    <row r="376" spans="1:3">
      <c r="A376" s="5">
        <v>46270</v>
      </c>
      <c r="B376" s="3" t="s">
        <v>585</v>
      </c>
      <c r="C376" s="4">
        <v>-141.86</v>
      </c>
    </row>
    <row r="377" spans="1:3">
      <c r="A377" s="5">
        <v>46270</v>
      </c>
      <c r="B377" s="3" t="s">
        <v>581</v>
      </c>
      <c r="C377" s="4">
        <v>-42</v>
      </c>
    </row>
    <row r="378" spans="1:3">
      <c r="A378" s="5">
        <v>46270</v>
      </c>
      <c r="B378" s="3" t="s">
        <v>581</v>
      </c>
      <c r="C378" s="4">
        <v>-6.5</v>
      </c>
    </row>
    <row r="379" spans="1:3">
      <c r="A379" s="5">
        <v>46271</v>
      </c>
      <c r="B379" s="3" t="s">
        <v>585</v>
      </c>
      <c r="C379" s="4">
        <v>-106.24</v>
      </c>
    </row>
    <row r="380" spans="1:3">
      <c r="A380" s="5">
        <v>46271</v>
      </c>
      <c r="B380" s="3" t="s">
        <v>585</v>
      </c>
      <c r="C380" s="4">
        <v>-62.4</v>
      </c>
    </row>
    <row r="381" spans="1:3">
      <c r="A381" s="5">
        <v>46271</v>
      </c>
      <c r="B381" s="3" t="s">
        <v>585</v>
      </c>
      <c r="C381" s="4">
        <v>-69.66</v>
      </c>
    </row>
    <row r="382" spans="1:3">
      <c r="A382" s="5">
        <v>46271</v>
      </c>
      <c r="B382" s="3" t="s">
        <v>585</v>
      </c>
      <c r="C382" s="4">
        <v>-85.68000000000001</v>
      </c>
    </row>
    <row r="383" spans="1:3">
      <c r="A383" s="5">
        <v>46271</v>
      </c>
      <c r="B383" s="3" t="s">
        <v>585</v>
      </c>
      <c r="C383" s="4">
        <v>-82.36</v>
      </c>
    </row>
    <row r="384" spans="1:3">
      <c r="A384" s="5">
        <v>46271</v>
      </c>
      <c r="B384" s="3" t="s">
        <v>585</v>
      </c>
      <c r="C384" s="4">
        <v>-46.61</v>
      </c>
    </row>
    <row r="385" spans="1:3">
      <c r="A385" s="5">
        <v>46271</v>
      </c>
      <c r="B385" s="3" t="s">
        <v>581</v>
      </c>
      <c r="C385" s="4">
        <v>-42</v>
      </c>
    </row>
    <row r="386" spans="1:3">
      <c r="A386" s="5">
        <v>46271</v>
      </c>
      <c r="B386" s="3" t="s">
        <v>581</v>
      </c>
      <c r="C386" s="4">
        <v>-42</v>
      </c>
    </row>
    <row r="387" spans="1:3">
      <c r="A387" s="5">
        <v>46271</v>
      </c>
      <c r="B387" s="3" t="s">
        <v>581</v>
      </c>
      <c r="C387" s="4">
        <v>-42</v>
      </c>
    </row>
    <row r="388" spans="1:3">
      <c r="A388" s="5">
        <v>46271</v>
      </c>
      <c r="B388" s="3" t="s">
        <v>582</v>
      </c>
      <c r="C388" s="4">
        <v>1425.27</v>
      </c>
    </row>
    <row r="389" spans="1:3">
      <c r="A389" s="5">
        <v>46271</v>
      </c>
      <c r="B389" s="3" t="s">
        <v>582</v>
      </c>
      <c r="C389" s="4">
        <v>2147.9</v>
      </c>
    </row>
    <row r="390" spans="1:3">
      <c r="A390" s="5">
        <v>46271</v>
      </c>
      <c r="B390" s="3" t="s">
        <v>582</v>
      </c>
      <c r="C390" s="4">
        <v>45.08</v>
      </c>
    </row>
    <row r="391" spans="1:3">
      <c r="A391" s="5">
        <v>46271</v>
      </c>
      <c r="B391" s="3" t="s">
        <v>582</v>
      </c>
      <c r="C391" s="4">
        <v>796.9299999999999</v>
      </c>
    </row>
    <row r="392" spans="1:3">
      <c r="A392" s="5">
        <v>46271</v>
      </c>
      <c r="B392" s="3" t="s">
        <v>582</v>
      </c>
      <c r="C392" s="4">
        <v>150.48</v>
      </c>
    </row>
    <row r="393" spans="1:3">
      <c r="A393" s="5">
        <v>46271</v>
      </c>
      <c r="B393" s="3" t="s">
        <v>582</v>
      </c>
      <c r="C393" s="4">
        <v>72.31999999999999</v>
      </c>
    </row>
    <row r="394" spans="1:3">
      <c r="A394" s="5">
        <v>46271</v>
      </c>
      <c r="B394" s="3" t="s">
        <v>582</v>
      </c>
      <c r="C394" s="4">
        <v>11</v>
      </c>
    </row>
    <row r="395" spans="1:3">
      <c r="A395" s="5">
        <v>46271</v>
      </c>
      <c r="B395" s="3" t="s">
        <v>586</v>
      </c>
      <c r="C395" s="4">
        <v>-995.22</v>
      </c>
    </row>
    <row r="396" spans="1:3">
      <c r="A396" s="5">
        <v>46271</v>
      </c>
      <c r="B396" s="3" t="s">
        <v>583</v>
      </c>
      <c r="C396" s="4">
        <v>-119.85</v>
      </c>
    </row>
    <row r="397" spans="1:3">
      <c r="A397" s="5">
        <v>46271</v>
      </c>
      <c r="B397" s="3" t="s">
        <v>584</v>
      </c>
      <c r="C397" s="4">
        <v>-5</v>
      </c>
    </row>
    <row r="398" spans="1:3">
      <c r="A398" s="5">
        <v>46272</v>
      </c>
      <c r="B398" s="3" t="s">
        <v>585</v>
      </c>
      <c r="C398" s="4">
        <v>-114.38</v>
      </c>
    </row>
    <row r="399" spans="1:3">
      <c r="A399" s="5">
        <v>46272</v>
      </c>
      <c r="B399" s="3" t="s">
        <v>585</v>
      </c>
      <c r="C399" s="4">
        <v>-86.92</v>
      </c>
    </row>
    <row r="400" spans="1:3">
      <c r="A400" s="5">
        <v>46272</v>
      </c>
      <c r="B400" s="3" t="s">
        <v>585</v>
      </c>
      <c r="C400" s="4">
        <v>-12.42</v>
      </c>
    </row>
    <row r="401" spans="1:3">
      <c r="A401" s="5">
        <v>46272</v>
      </c>
      <c r="B401" s="3" t="s">
        <v>585</v>
      </c>
      <c r="C401" s="4">
        <v>-103.2</v>
      </c>
    </row>
    <row r="402" spans="1:3">
      <c r="A402" s="5">
        <v>46272</v>
      </c>
      <c r="B402" s="3" t="s">
        <v>585</v>
      </c>
      <c r="C402" s="4">
        <v>-67.62</v>
      </c>
    </row>
    <row r="403" spans="1:3">
      <c r="A403" s="5">
        <v>46272</v>
      </c>
      <c r="B403" s="3" t="s">
        <v>585</v>
      </c>
      <c r="C403" s="4">
        <v>-57.6</v>
      </c>
    </row>
    <row r="404" spans="1:3">
      <c r="A404" s="5">
        <v>46272</v>
      </c>
      <c r="B404" s="3" t="s">
        <v>581</v>
      </c>
      <c r="C404" s="4">
        <v>-42</v>
      </c>
    </row>
    <row r="405" spans="1:3">
      <c r="A405" s="5">
        <v>46272</v>
      </c>
      <c r="B405" s="3" t="s">
        <v>581</v>
      </c>
      <c r="C405" s="4">
        <v>-42</v>
      </c>
    </row>
    <row r="406" spans="1:3">
      <c r="A406" s="5">
        <v>46273</v>
      </c>
      <c r="B406" s="3" t="s">
        <v>585</v>
      </c>
      <c r="C406" s="4">
        <v>-67.41</v>
      </c>
    </row>
    <row r="407" spans="1:3">
      <c r="A407" s="5">
        <v>46273</v>
      </c>
      <c r="B407" s="3" t="s">
        <v>585</v>
      </c>
      <c r="C407" s="4">
        <v>-54</v>
      </c>
    </row>
    <row r="408" spans="1:3">
      <c r="A408" s="5">
        <v>46273</v>
      </c>
      <c r="B408" s="3" t="s">
        <v>585</v>
      </c>
      <c r="C408" s="4">
        <v>-46.8</v>
      </c>
    </row>
    <row r="409" spans="1:3">
      <c r="A409" s="5">
        <v>46273</v>
      </c>
      <c r="B409" s="3" t="s">
        <v>585</v>
      </c>
      <c r="C409" s="4">
        <v>-19.2</v>
      </c>
    </row>
    <row r="410" spans="1:3">
      <c r="A410" s="5">
        <v>46273</v>
      </c>
      <c r="B410" s="3" t="s">
        <v>585</v>
      </c>
      <c r="C410" s="4">
        <v>-18.36</v>
      </c>
    </row>
    <row r="411" spans="1:3">
      <c r="A411" s="5">
        <v>46273</v>
      </c>
      <c r="B411" s="3" t="s">
        <v>585</v>
      </c>
      <c r="C411" s="4">
        <v>-72</v>
      </c>
    </row>
    <row r="412" spans="1:3">
      <c r="A412" s="5">
        <v>46273</v>
      </c>
      <c r="B412" s="3" t="s">
        <v>581</v>
      </c>
      <c r="C412" s="4">
        <v>-42</v>
      </c>
    </row>
    <row r="413" spans="1:3">
      <c r="A413" s="5">
        <v>46273</v>
      </c>
      <c r="B413" s="3" t="s">
        <v>581</v>
      </c>
      <c r="C413" s="4">
        <v>-42</v>
      </c>
    </row>
    <row r="414" spans="1:3">
      <c r="A414" s="5">
        <v>46273</v>
      </c>
      <c r="B414" s="3" t="s">
        <v>581</v>
      </c>
      <c r="C414" s="4">
        <v>-42</v>
      </c>
    </row>
    <row r="415" spans="1:3">
      <c r="A415" s="5">
        <v>46273</v>
      </c>
      <c r="B415" s="3" t="s">
        <v>582</v>
      </c>
      <c r="C415" s="4">
        <v>129.45</v>
      </c>
    </row>
    <row r="416" spans="1:3">
      <c r="A416" s="5">
        <v>46273</v>
      </c>
      <c r="B416" s="3" t="s">
        <v>582</v>
      </c>
      <c r="C416" s="4">
        <v>72.86</v>
      </c>
    </row>
    <row r="417" spans="1:3">
      <c r="A417" s="5">
        <v>46273</v>
      </c>
      <c r="B417" s="3" t="s">
        <v>582</v>
      </c>
      <c r="C417" s="4">
        <v>1318.37</v>
      </c>
    </row>
    <row r="418" spans="1:3">
      <c r="A418" s="5">
        <v>46273</v>
      </c>
      <c r="B418" s="3" t="s">
        <v>586</v>
      </c>
      <c r="C418" s="4">
        <v>-3128.82</v>
      </c>
    </row>
    <row r="419" spans="1:3">
      <c r="A419" s="5">
        <v>46274</v>
      </c>
      <c r="B419" s="3" t="s">
        <v>585</v>
      </c>
      <c r="C419" s="4">
        <v>-76.31999999999999</v>
      </c>
    </row>
    <row r="420" spans="1:3">
      <c r="A420" s="5">
        <v>46274</v>
      </c>
      <c r="B420" s="3" t="s">
        <v>585</v>
      </c>
      <c r="C420" s="4">
        <v>-16.94</v>
      </c>
    </row>
    <row r="421" spans="1:3">
      <c r="A421" s="5">
        <v>46274</v>
      </c>
      <c r="B421" s="3" t="s">
        <v>585</v>
      </c>
      <c r="C421" s="4">
        <v>-31.2</v>
      </c>
    </row>
    <row r="422" spans="1:3">
      <c r="A422" s="5">
        <v>46274</v>
      </c>
      <c r="B422" s="3" t="s">
        <v>585</v>
      </c>
      <c r="C422" s="4">
        <v>-120.8</v>
      </c>
    </row>
    <row r="423" spans="1:3">
      <c r="A423" s="5">
        <v>46274</v>
      </c>
      <c r="B423" s="3" t="s">
        <v>585</v>
      </c>
      <c r="C423" s="4">
        <v>-20.88</v>
      </c>
    </row>
    <row r="424" spans="1:3">
      <c r="A424" s="5">
        <v>46274</v>
      </c>
      <c r="B424" s="3" t="s">
        <v>585</v>
      </c>
      <c r="C424" s="4">
        <v>-38.54</v>
      </c>
    </row>
    <row r="425" spans="1:3">
      <c r="A425" s="5">
        <v>46274</v>
      </c>
      <c r="B425" s="3" t="s">
        <v>581</v>
      </c>
      <c r="C425" s="4">
        <v>-6.5</v>
      </c>
    </row>
    <row r="426" spans="1:3">
      <c r="A426" s="5">
        <v>46274</v>
      </c>
      <c r="B426" s="3" t="s">
        <v>581</v>
      </c>
      <c r="C426" s="4">
        <v>-6.5</v>
      </c>
    </row>
    <row r="427" spans="1:3">
      <c r="A427" s="5">
        <v>46274</v>
      </c>
      <c r="B427" s="3" t="s">
        <v>581</v>
      </c>
      <c r="C427" s="4">
        <v>-42</v>
      </c>
    </row>
    <row r="428" spans="1:3">
      <c r="A428" s="5">
        <v>46274</v>
      </c>
      <c r="B428" s="3" t="s">
        <v>583</v>
      </c>
      <c r="C428" s="4">
        <v>-143.06</v>
      </c>
    </row>
    <row r="429" spans="1:3">
      <c r="A429" s="5">
        <v>46274</v>
      </c>
      <c r="B429" s="3" t="s">
        <v>584</v>
      </c>
      <c r="C429" s="4">
        <v>-5</v>
      </c>
    </row>
    <row r="430" spans="1:3">
      <c r="A430" s="5">
        <v>46275</v>
      </c>
      <c r="B430" s="3" t="s">
        <v>585</v>
      </c>
      <c r="C430" s="4">
        <v>-55.18</v>
      </c>
    </row>
    <row r="431" spans="1:3">
      <c r="A431" s="5">
        <v>46275</v>
      </c>
      <c r="B431" s="3" t="s">
        <v>585</v>
      </c>
      <c r="C431" s="4">
        <v>-46.44</v>
      </c>
    </row>
    <row r="432" spans="1:3">
      <c r="A432" s="5">
        <v>46275</v>
      </c>
      <c r="B432" s="3" t="s">
        <v>585</v>
      </c>
      <c r="C432" s="4">
        <v>-57.2</v>
      </c>
    </row>
    <row r="433" spans="1:3">
      <c r="A433" s="5">
        <v>46275</v>
      </c>
      <c r="B433" s="3" t="s">
        <v>585</v>
      </c>
      <c r="C433" s="4">
        <v>-13.32</v>
      </c>
    </row>
    <row r="434" spans="1:3">
      <c r="A434" s="5">
        <v>46275</v>
      </c>
      <c r="B434" s="3" t="s">
        <v>585</v>
      </c>
      <c r="C434" s="4">
        <v>-117.8</v>
      </c>
    </row>
    <row r="435" spans="1:3">
      <c r="A435" s="5">
        <v>46275</v>
      </c>
      <c r="B435" s="3" t="s">
        <v>585</v>
      </c>
      <c r="C435" s="4">
        <v>-29.6</v>
      </c>
    </row>
    <row r="436" spans="1:3">
      <c r="A436" s="5">
        <v>46275</v>
      </c>
      <c r="B436" s="3" t="s">
        <v>581</v>
      </c>
      <c r="C436" s="4">
        <v>-42</v>
      </c>
    </row>
    <row r="437" spans="1:3">
      <c r="A437" s="5">
        <v>46275</v>
      </c>
      <c r="B437" s="3" t="s">
        <v>581</v>
      </c>
      <c r="C437" s="4">
        <v>-6.5</v>
      </c>
    </row>
    <row r="438" spans="1:3">
      <c r="A438" s="5">
        <v>46275</v>
      </c>
      <c r="B438" s="3" t="s">
        <v>582</v>
      </c>
      <c r="C438" s="4">
        <v>200.67</v>
      </c>
    </row>
    <row r="439" spans="1:3">
      <c r="A439" s="5">
        <v>46275</v>
      </c>
      <c r="B439" s="3" t="s">
        <v>582</v>
      </c>
      <c r="C439" s="4">
        <v>721.48</v>
      </c>
    </row>
    <row r="440" spans="1:3">
      <c r="A440" s="5">
        <v>46275</v>
      </c>
      <c r="B440" s="3" t="s">
        <v>582</v>
      </c>
      <c r="C440" s="4">
        <v>67.72</v>
      </c>
    </row>
    <row r="441" spans="1:3">
      <c r="A441" s="5">
        <v>46275</v>
      </c>
      <c r="B441" s="3" t="s">
        <v>582</v>
      </c>
      <c r="C441" s="4">
        <v>688.35</v>
      </c>
    </row>
    <row r="442" spans="1:3">
      <c r="A442" s="5">
        <v>46275</v>
      </c>
      <c r="B442" s="3" t="s">
        <v>582</v>
      </c>
      <c r="C442" s="4">
        <v>152.1</v>
      </c>
    </row>
    <row r="443" spans="1:3">
      <c r="A443" s="5">
        <v>46275</v>
      </c>
      <c r="B443" s="3" t="s">
        <v>586</v>
      </c>
      <c r="C443" s="4">
        <v>-5942.1</v>
      </c>
    </row>
    <row r="444" spans="1:3">
      <c r="A444" s="5">
        <v>46275</v>
      </c>
      <c r="B444" s="3" t="s">
        <v>583</v>
      </c>
      <c r="C444" s="4">
        <v>-174.68</v>
      </c>
    </row>
    <row r="445" spans="1:3">
      <c r="A445" s="5">
        <v>46275</v>
      </c>
      <c r="B445" s="3" t="s">
        <v>584</v>
      </c>
      <c r="C445" s="4">
        <v>-5</v>
      </c>
    </row>
    <row r="446" spans="1:3">
      <c r="A446" s="5">
        <v>46276</v>
      </c>
      <c r="B446" s="3" t="s">
        <v>585</v>
      </c>
      <c r="C446" s="4">
        <v>-31.5</v>
      </c>
    </row>
    <row r="447" spans="1:3">
      <c r="A447" s="5">
        <v>46276</v>
      </c>
      <c r="B447" s="3" t="s">
        <v>585</v>
      </c>
      <c r="C447" s="4">
        <v>-101.64</v>
      </c>
    </row>
    <row r="448" spans="1:3">
      <c r="A448" s="5">
        <v>46276</v>
      </c>
      <c r="B448" s="3" t="s">
        <v>585</v>
      </c>
      <c r="C448" s="4">
        <v>-135.52</v>
      </c>
    </row>
    <row r="449" spans="1:3">
      <c r="A449" s="5">
        <v>46276</v>
      </c>
      <c r="B449" s="3" t="s">
        <v>585</v>
      </c>
      <c r="C449" s="4">
        <v>-33.48</v>
      </c>
    </row>
    <row r="450" spans="1:3">
      <c r="A450" s="5">
        <v>46276</v>
      </c>
      <c r="B450" s="3" t="s">
        <v>585</v>
      </c>
      <c r="C450" s="4">
        <v>-43.31</v>
      </c>
    </row>
    <row r="451" spans="1:3">
      <c r="A451" s="5">
        <v>46276</v>
      </c>
      <c r="B451" s="3" t="s">
        <v>585</v>
      </c>
      <c r="C451" s="4">
        <v>-141.6</v>
      </c>
    </row>
    <row r="452" spans="1:3">
      <c r="A452" s="5">
        <v>46276</v>
      </c>
      <c r="B452" s="3" t="s">
        <v>581</v>
      </c>
      <c r="C452" s="4">
        <v>-6.5</v>
      </c>
    </row>
    <row r="453" spans="1:3">
      <c r="A453" s="5">
        <v>46276</v>
      </c>
      <c r="B453" s="3" t="s">
        <v>581</v>
      </c>
      <c r="C453" s="4">
        <v>-42</v>
      </c>
    </row>
    <row r="454" spans="1:3">
      <c r="A454" s="5">
        <v>46277</v>
      </c>
      <c r="B454" s="3" t="s">
        <v>585</v>
      </c>
      <c r="C454" s="4">
        <v>-49.68</v>
      </c>
    </row>
    <row r="455" spans="1:3">
      <c r="A455" s="5">
        <v>46277</v>
      </c>
      <c r="B455" s="3" t="s">
        <v>585</v>
      </c>
      <c r="C455" s="4">
        <v>-28.52</v>
      </c>
    </row>
    <row r="456" spans="1:3">
      <c r="A456" s="5">
        <v>46277</v>
      </c>
      <c r="B456" s="3" t="s">
        <v>585</v>
      </c>
      <c r="C456" s="4">
        <v>-102</v>
      </c>
    </row>
    <row r="457" spans="1:3">
      <c r="A457" s="5">
        <v>46277</v>
      </c>
      <c r="B457" s="3" t="s">
        <v>585</v>
      </c>
      <c r="C457" s="4">
        <v>-47.2</v>
      </c>
    </row>
    <row r="458" spans="1:3">
      <c r="A458" s="5">
        <v>46277</v>
      </c>
      <c r="B458" s="3" t="s">
        <v>585</v>
      </c>
      <c r="C458" s="4">
        <v>-73.95</v>
      </c>
    </row>
    <row r="459" spans="1:3">
      <c r="A459" s="5">
        <v>46277</v>
      </c>
      <c r="B459" s="3" t="s">
        <v>585</v>
      </c>
      <c r="C459" s="4">
        <v>-115.2</v>
      </c>
    </row>
    <row r="460" spans="1:3">
      <c r="A460" s="5">
        <v>46277</v>
      </c>
      <c r="B460" s="3" t="s">
        <v>581</v>
      </c>
      <c r="C460" s="4">
        <v>-42</v>
      </c>
    </row>
    <row r="461" spans="1:3">
      <c r="A461" s="5">
        <v>46277</v>
      </c>
      <c r="B461" s="3" t="s">
        <v>582</v>
      </c>
      <c r="C461" s="4">
        <v>1921.48</v>
      </c>
    </row>
    <row r="462" spans="1:3">
      <c r="A462" s="5">
        <v>46277</v>
      </c>
      <c r="B462" s="3" t="s">
        <v>582</v>
      </c>
      <c r="C462" s="4">
        <v>1565.52</v>
      </c>
    </row>
    <row r="463" spans="1:3">
      <c r="A463" s="5">
        <v>46277</v>
      </c>
      <c r="B463" s="3" t="s">
        <v>586</v>
      </c>
      <c r="C463" s="4">
        <v>-250.56</v>
      </c>
    </row>
    <row r="464" spans="1:3">
      <c r="A464" s="5">
        <v>46278</v>
      </c>
      <c r="B464" s="3" t="s">
        <v>585</v>
      </c>
      <c r="C464" s="4">
        <v>-20.74</v>
      </c>
    </row>
    <row r="465" spans="1:3">
      <c r="A465" s="5">
        <v>46278</v>
      </c>
      <c r="B465" s="3" t="s">
        <v>585</v>
      </c>
      <c r="C465" s="4">
        <v>-22.32</v>
      </c>
    </row>
    <row r="466" spans="1:3">
      <c r="A466" s="5">
        <v>46278</v>
      </c>
      <c r="B466" s="3" t="s">
        <v>585</v>
      </c>
      <c r="C466" s="4">
        <v>-54.53</v>
      </c>
    </row>
    <row r="467" spans="1:3">
      <c r="A467" s="5">
        <v>46278</v>
      </c>
      <c r="B467" s="3" t="s">
        <v>585</v>
      </c>
      <c r="C467" s="4">
        <v>-120.06</v>
      </c>
    </row>
    <row r="468" spans="1:3">
      <c r="A468" s="5">
        <v>46278</v>
      </c>
      <c r="B468" s="3" t="s">
        <v>585</v>
      </c>
      <c r="C468" s="4">
        <v>-103.18</v>
      </c>
    </row>
    <row r="469" spans="1:3">
      <c r="A469" s="5">
        <v>46278</v>
      </c>
      <c r="B469" s="3" t="s">
        <v>585</v>
      </c>
      <c r="C469" s="4">
        <v>-25.01</v>
      </c>
    </row>
    <row r="470" spans="1:3">
      <c r="A470" s="5">
        <v>46278</v>
      </c>
      <c r="B470" s="3" t="s">
        <v>581</v>
      </c>
      <c r="C470" s="4">
        <v>-42</v>
      </c>
    </row>
    <row r="471" spans="1:3">
      <c r="A471" s="5">
        <v>46278</v>
      </c>
      <c r="B471" s="3" t="s">
        <v>581</v>
      </c>
      <c r="C471" s="4">
        <v>-42</v>
      </c>
    </row>
    <row r="472" spans="1:3">
      <c r="A472" s="5">
        <v>46278</v>
      </c>
      <c r="B472" s="3" t="s">
        <v>583</v>
      </c>
      <c r="C472" s="4">
        <v>-224.87</v>
      </c>
    </row>
    <row r="473" spans="1:3">
      <c r="A473" s="5">
        <v>46278</v>
      </c>
      <c r="B473" s="3" t="s">
        <v>584</v>
      </c>
      <c r="C473" s="4">
        <v>-5</v>
      </c>
    </row>
    <row r="474" spans="1:3">
      <c r="A474" s="5">
        <v>46279</v>
      </c>
      <c r="B474" s="3" t="s">
        <v>585</v>
      </c>
      <c r="C474" s="4">
        <v>-47.74</v>
      </c>
    </row>
    <row r="475" spans="1:3">
      <c r="A475" s="5">
        <v>46279</v>
      </c>
      <c r="B475" s="3" t="s">
        <v>585</v>
      </c>
      <c r="C475" s="4">
        <v>-49.6</v>
      </c>
    </row>
    <row r="476" spans="1:3">
      <c r="A476" s="5">
        <v>46279</v>
      </c>
      <c r="B476" s="3" t="s">
        <v>585</v>
      </c>
      <c r="C476" s="4">
        <v>-16.24</v>
      </c>
    </row>
    <row r="477" spans="1:3">
      <c r="A477" s="5">
        <v>46279</v>
      </c>
      <c r="B477" s="3" t="s">
        <v>585</v>
      </c>
      <c r="C477" s="4">
        <v>-59.4</v>
      </c>
    </row>
    <row r="478" spans="1:3">
      <c r="A478" s="5">
        <v>46279</v>
      </c>
      <c r="B478" s="3" t="s">
        <v>585</v>
      </c>
      <c r="C478" s="4">
        <v>-124</v>
      </c>
    </row>
    <row r="479" spans="1:3">
      <c r="A479" s="5">
        <v>46279</v>
      </c>
      <c r="B479" s="3" t="s">
        <v>585</v>
      </c>
      <c r="C479" s="4">
        <v>-32.19</v>
      </c>
    </row>
    <row r="480" spans="1:3">
      <c r="A480" s="5">
        <v>46279</v>
      </c>
      <c r="B480" s="3" t="s">
        <v>581</v>
      </c>
      <c r="C480" s="4">
        <v>-42</v>
      </c>
    </row>
    <row r="481" spans="1:3">
      <c r="A481" s="5">
        <v>46279</v>
      </c>
      <c r="B481" s="3" t="s">
        <v>581</v>
      </c>
      <c r="C481" s="4">
        <v>-42</v>
      </c>
    </row>
    <row r="482" spans="1:3">
      <c r="A482" s="5">
        <v>46279</v>
      </c>
      <c r="B482" s="3" t="s">
        <v>582</v>
      </c>
      <c r="C482" s="4">
        <v>1761.51</v>
      </c>
    </row>
    <row r="483" spans="1:3">
      <c r="A483" s="5">
        <v>46279</v>
      </c>
      <c r="B483" s="3" t="s">
        <v>582</v>
      </c>
      <c r="C483" s="4">
        <v>1351.22</v>
      </c>
    </row>
    <row r="484" spans="1:3">
      <c r="A484" s="5">
        <v>46279</v>
      </c>
      <c r="B484" s="3" t="s">
        <v>582</v>
      </c>
      <c r="C484" s="4">
        <v>746.92</v>
      </c>
    </row>
    <row r="485" spans="1:3">
      <c r="A485" s="5">
        <v>46279</v>
      </c>
      <c r="B485" s="3" t="s">
        <v>582</v>
      </c>
      <c r="C485" s="4">
        <v>1333.48</v>
      </c>
    </row>
    <row r="486" spans="1:3">
      <c r="A486" s="5">
        <v>46279</v>
      </c>
      <c r="B486" s="3" t="s">
        <v>582</v>
      </c>
      <c r="C486" s="4">
        <v>843.1900000000001</v>
      </c>
    </row>
    <row r="487" spans="1:3">
      <c r="A487" s="5">
        <v>46279</v>
      </c>
      <c r="B487" s="3" t="s">
        <v>582</v>
      </c>
      <c r="C487" s="4">
        <v>609.15</v>
      </c>
    </row>
    <row r="488" spans="1:3">
      <c r="A488" s="5">
        <v>46279</v>
      </c>
      <c r="B488" s="3" t="s">
        <v>586</v>
      </c>
      <c r="C488" s="4">
        <v>-125.88</v>
      </c>
    </row>
    <row r="489" spans="1:3">
      <c r="A489" s="5">
        <v>46279</v>
      </c>
      <c r="B489" s="3" t="s">
        <v>583</v>
      </c>
      <c r="C489" s="4">
        <v>-161.47</v>
      </c>
    </row>
    <row r="490" spans="1:3">
      <c r="A490" s="5">
        <v>46279</v>
      </c>
      <c r="B490" s="3" t="s">
        <v>584</v>
      </c>
      <c r="C490" s="4">
        <v>-5</v>
      </c>
    </row>
    <row r="491" spans="1:3">
      <c r="A491" s="5">
        <v>46280</v>
      </c>
      <c r="B491" s="3" t="s">
        <v>585</v>
      </c>
      <c r="C491" s="4">
        <v>-64.31999999999999</v>
      </c>
    </row>
    <row r="492" spans="1:3">
      <c r="A492" s="5">
        <v>46280</v>
      </c>
      <c r="B492" s="3" t="s">
        <v>585</v>
      </c>
      <c r="C492" s="4">
        <v>-64.68000000000001</v>
      </c>
    </row>
    <row r="493" spans="1:3">
      <c r="A493" s="5">
        <v>46280</v>
      </c>
      <c r="B493" s="3" t="s">
        <v>585</v>
      </c>
      <c r="C493" s="4">
        <v>-14.8</v>
      </c>
    </row>
    <row r="494" spans="1:3">
      <c r="A494" s="5">
        <v>46280</v>
      </c>
      <c r="B494" s="3" t="s">
        <v>585</v>
      </c>
      <c r="C494" s="4">
        <v>-44.54</v>
      </c>
    </row>
    <row r="495" spans="1:3">
      <c r="A495" s="5">
        <v>46280</v>
      </c>
      <c r="B495" s="3" t="s">
        <v>585</v>
      </c>
      <c r="C495" s="4">
        <v>-44.55</v>
      </c>
    </row>
    <row r="496" spans="1:3">
      <c r="A496" s="5">
        <v>46280</v>
      </c>
      <c r="B496" s="3" t="s">
        <v>585</v>
      </c>
      <c r="C496" s="4">
        <v>-25.3</v>
      </c>
    </row>
    <row r="497" spans="1:3">
      <c r="A497" s="5">
        <v>46280</v>
      </c>
      <c r="B497" s="3" t="s">
        <v>581</v>
      </c>
      <c r="C497" s="4">
        <v>-42</v>
      </c>
    </row>
    <row r="498" spans="1:3">
      <c r="A498" s="5">
        <v>46280</v>
      </c>
      <c r="B498" s="3" t="s">
        <v>581</v>
      </c>
      <c r="C498" s="4">
        <v>-42</v>
      </c>
    </row>
    <row r="499" spans="1:3">
      <c r="A499" s="5">
        <v>46280</v>
      </c>
      <c r="B499" s="3" t="s">
        <v>583</v>
      </c>
      <c r="C499" s="4">
        <v>-8.210000000000001</v>
      </c>
    </row>
    <row r="500" spans="1:3">
      <c r="A500" s="5">
        <v>46280</v>
      </c>
      <c r="B500" s="3" t="s">
        <v>584</v>
      </c>
      <c r="C500" s="4">
        <v>-5</v>
      </c>
    </row>
    <row r="501" spans="1:3">
      <c r="A501" s="5">
        <v>46281</v>
      </c>
      <c r="B501" s="3" t="s">
        <v>585</v>
      </c>
      <c r="C501" s="4">
        <v>-14.96</v>
      </c>
    </row>
    <row r="502" spans="1:3">
      <c r="A502" s="5">
        <v>46281</v>
      </c>
      <c r="B502" s="3" t="s">
        <v>585</v>
      </c>
      <c r="C502" s="4">
        <v>-58.5</v>
      </c>
    </row>
    <row r="503" spans="1:3">
      <c r="A503" s="5">
        <v>46281</v>
      </c>
      <c r="B503" s="3" t="s">
        <v>585</v>
      </c>
      <c r="C503" s="4">
        <v>-21.6</v>
      </c>
    </row>
    <row r="504" spans="1:3">
      <c r="A504" s="5">
        <v>46281</v>
      </c>
      <c r="B504" s="3" t="s">
        <v>585</v>
      </c>
      <c r="C504" s="4">
        <v>-89.04000000000001</v>
      </c>
    </row>
    <row r="505" spans="1:3">
      <c r="A505" s="5">
        <v>46281</v>
      </c>
      <c r="B505" s="3" t="s">
        <v>585</v>
      </c>
      <c r="C505" s="4">
        <v>-17.51</v>
      </c>
    </row>
    <row r="506" spans="1:3">
      <c r="A506" s="5">
        <v>46281</v>
      </c>
      <c r="B506" s="3" t="s">
        <v>585</v>
      </c>
      <c r="C506" s="4">
        <v>-84.53</v>
      </c>
    </row>
    <row r="507" spans="1:3">
      <c r="A507" s="5">
        <v>46281</v>
      </c>
      <c r="B507" s="3" t="s">
        <v>581</v>
      </c>
      <c r="C507" s="4">
        <v>-42</v>
      </c>
    </row>
    <row r="508" spans="1:3">
      <c r="A508" s="5">
        <v>46281</v>
      </c>
      <c r="B508" s="3" t="s">
        <v>581</v>
      </c>
      <c r="C508" s="4">
        <v>-42</v>
      </c>
    </row>
    <row r="509" spans="1:3">
      <c r="A509" s="5">
        <v>46281</v>
      </c>
      <c r="B509" s="3" t="s">
        <v>582</v>
      </c>
      <c r="C509" s="4">
        <v>85.01000000000001</v>
      </c>
    </row>
    <row r="510" spans="1:3">
      <c r="A510" s="5">
        <v>46281</v>
      </c>
      <c r="B510" s="3" t="s">
        <v>582</v>
      </c>
      <c r="C510" s="4">
        <v>1095.69</v>
      </c>
    </row>
    <row r="511" spans="1:3">
      <c r="A511" s="5">
        <v>46281</v>
      </c>
      <c r="B511" s="3" t="s">
        <v>586</v>
      </c>
      <c r="C511" s="4">
        <v>-3409.92</v>
      </c>
    </row>
    <row r="512" spans="1:3">
      <c r="A512" s="5">
        <v>46282</v>
      </c>
      <c r="B512" s="3" t="s">
        <v>585</v>
      </c>
      <c r="C512" s="4">
        <v>-120.24</v>
      </c>
    </row>
    <row r="513" spans="1:3">
      <c r="A513" s="5">
        <v>46282</v>
      </c>
      <c r="B513" s="3" t="s">
        <v>585</v>
      </c>
      <c r="C513" s="4">
        <v>-70.48999999999999</v>
      </c>
    </row>
    <row r="514" spans="1:3">
      <c r="A514" s="5">
        <v>46282</v>
      </c>
      <c r="B514" s="3" t="s">
        <v>585</v>
      </c>
      <c r="C514" s="4">
        <v>-93.98</v>
      </c>
    </row>
    <row r="515" spans="1:3">
      <c r="A515" s="5">
        <v>46282</v>
      </c>
      <c r="B515" s="3" t="s">
        <v>585</v>
      </c>
      <c r="C515" s="4">
        <v>-95.14</v>
      </c>
    </row>
    <row r="516" spans="1:3">
      <c r="A516" s="5">
        <v>46282</v>
      </c>
      <c r="B516" s="3" t="s">
        <v>585</v>
      </c>
      <c r="C516" s="4">
        <v>-39.76</v>
      </c>
    </row>
    <row r="517" spans="1:3">
      <c r="A517" s="5">
        <v>46282</v>
      </c>
      <c r="B517" s="3" t="s">
        <v>585</v>
      </c>
      <c r="C517" s="4">
        <v>-89.68000000000001</v>
      </c>
    </row>
    <row r="518" spans="1:3">
      <c r="A518" s="5">
        <v>46282</v>
      </c>
      <c r="B518" s="3" t="s">
        <v>581</v>
      </c>
      <c r="C518" s="4">
        <v>-42</v>
      </c>
    </row>
    <row r="519" spans="1:3">
      <c r="A519" s="5">
        <v>46282</v>
      </c>
      <c r="B519" s="3" t="s">
        <v>581</v>
      </c>
      <c r="C519" s="4">
        <v>-42</v>
      </c>
    </row>
    <row r="520" spans="1:3">
      <c r="A520" s="5">
        <v>46283</v>
      </c>
      <c r="B520" s="3" t="s">
        <v>585</v>
      </c>
      <c r="C520" s="4">
        <v>-115.5</v>
      </c>
    </row>
    <row r="521" spans="1:3">
      <c r="A521" s="5">
        <v>46283</v>
      </c>
      <c r="B521" s="3" t="s">
        <v>585</v>
      </c>
      <c r="C521" s="4">
        <v>-51.8</v>
      </c>
    </row>
    <row r="522" spans="1:3">
      <c r="A522" s="5">
        <v>46283</v>
      </c>
      <c r="B522" s="3" t="s">
        <v>585</v>
      </c>
      <c r="C522" s="4">
        <v>-62.7</v>
      </c>
    </row>
    <row r="523" spans="1:3">
      <c r="A523" s="5">
        <v>46283</v>
      </c>
      <c r="B523" s="3" t="s">
        <v>585</v>
      </c>
      <c r="C523" s="4">
        <v>-121.68</v>
      </c>
    </row>
    <row r="524" spans="1:3">
      <c r="A524" s="5">
        <v>46283</v>
      </c>
      <c r="B524" s="3" t="s">
        <v>585</v>
      </c>
      <c r="C524" s="4">
        <v>-59.04</v>
      </c>
    </row>
    <row r="525" spans="1:3">
      <c r="A525" s="5">
        <v>46283</v>
      </c>
      <c r="B525" s="3" t="s">
        <v>585</v>
      </c>
      <c r="C525" s="4">
        <v>-81.92</v>
      </c>
    </row>
    <row r="526" spans="1:3">
      <c r="A526" s="5">
        <v>46283</v>
      </c>
      <c r="B526" s="3" t="s">
        <v>581</v>
      </c>
      <c r="C526" s="4">
        <v>-6.5</v>
      </c>
    </row>
    <row r="527" spans="1:3">
      <c r="A527" s="5">
        <v>46283</v>
      </c>
      <c r="B527" s="3" t="s">
        <v>581</v>
      </c>
      <c r="C527" s="4">
        <v>-42</v>
      </c>
    </row>
    <row r="528" spans="1:3">
      <c r="A528" s="5">
        <v>46283</v>
      </c>
      <c r="B528" s="3" t="s">
        <v>582</v>
      </c>
      <c r="C528" s="4">
        <v>1079.37</v>
      </c>
    </row>
    <row r="529" spans="1:3">
      <c r="A529" s="5">
        <v>46283</v>
      </c>
      <c r="B529" s="3" t="s">
        <v>582</v>
      </c>
      <c r="C529" s="4">
        <v>95.88</v>
      </c>
    </row>
    <row r="530" spans="1:3">
      <c r="A530" s="5">
        <v>46283</v>
      </c>
      <c r="B530" s="3" t="s">
        <v>582</v>
      </c>
      <c r="C530" s="4">
        <v>445.95</v>
      </c>
    </row>
    <row r="531" spans="1:3">
      <c r="A531" s="5">
        <v>46283</v>
      </c>
      <c r="B531" s="3" t="s">
        <v>582</v>
      </c>
      <c r="C531" s="4">
        <v>865.08</v>
      </c>
    </row>
    <row r="532" spans="1:3">
      <c r="A532" s="5">
        <v>46283</v>
      </c>
      <c r="B532" s="3" t="s">
        <v>582</v>
      </c>
      <c r="C532" s="4">
        <v>1127.02</v>
      </c>
    </row>
    <row r="533" spans="1:3">
      <c r="A533" s="5">
        <v>46283</v>
      </c>
      <c r="B533" s="3" t="s">
        <v>582</v>
      </c>
      <c r="C533" s="4">
        <v>132.45</v>
      </c>
    </row>
    <row r="534" spans="1:3">
      <c r="A534" s="5">
        <v>46283</v>
      </c>
      <c r="B534" s="3" t="s">
        <v>586</v>
      </c>
      <c r="C534" s="4">
        <v>-8243.84</v>
      </c>
    </row>
    <row r="535" spans="1:3">
      <c r="A535" s="5">
        <v>46284</v>
      </c>
      <c r="B535" s="3" t="s">
        <v>585</v>
      </c>
      <c r="C535" s="4">
        <v>-48.3</v>
      </c>
    </row>
    <row r="536" spans="1:3">
      <c r="A536" s="5">
        <v>46284</v>
      </c>
      <c r="B536" s="3" t="s">
        <v>585</v>
      </c>
      <c r="C536" s="4">
        <v>-65.09999999999999</v>
      </c>
    </row>
    <row r="537" spans="1:3">
      <c r="A537" s="5">
        <v>46284</v>
      </c>
      <c r="B537" s="3" t="s">
        <v>585</v>
      </c>
      <c r="C537" s="4">
        <v>-35.55</v>
      </c>
    </row>
    <row r="538" spans="1:3">
      <c r="A538" s="5">
        <v>46284</v>
      </c>
      <c r="B538" s="3" t="s">
        <v>585</v>
      </c>
      <c r="C538" s="4">
        <v>-64.38</v>
      </c>
    </row>
    <row r="539" spans="1:3">
      <c r="A539" s="5">
        <v>46284</v>
      </c>
      <c r="B539" s="3" t="s">
        <v>585</v>
      </c>
      <c r="C539" s="4">
        <v>-57.4</v>
      </c>
    </row>
    <row r="540" spans="1:3">
      <c r="A540" s="5">
        <v>46284</v>
      </c>
      <c r="B540" s="3" t="s">
        <v>585</v>
      </c>
      <c r="C540" s="4">
        <v>-21.42</v>
      </c>
    </row>
    <row r="541" spans="1:3">
      <c r="A541" s="5">
        <v>46284</v>
      </c>
      <c r="B541" s="3" t="s">
        <v>581</v>
      </c>
      <c r="C541" s="4">
        <v>-42</v>
      </c>
    </row>
    <row r="542" spans="1:3">
      <c r="A542" s="5">
        <v>46284</v>
      </c>
      <c r="B542" s="3" t="s">
        <v>581</v>
      </c>
      <c r="C542" s="4">
        <v>-42</v>
      </c>
    </row>
    <row r="543" spans="1:3">
      <c r="A543" s="5">
        <v>46284</v>
      </c>
      <c r="B543" s="3" t="s">
        <v>583</v>
      </c>
      <c r="C543" s="4">
        <v>-149.92</v>
      </c>
    </row>
    <row r="544" spans="1:3">
      <c r="A544" s="5">
        <v>46284</v>
      </c>
      <c r="B544" s="3" t="s">
        <v>584</v>
      </c>
      <c r="C544" s="4">
        <v>-5</v>
      </c>
    </row>
    <row r="545" spans="1:3">
      <c r="A545" s="5">
        <v>46285</v>
      </c>
      <c r="B545" s="3" t="s">
        <v>585</v>
      </c>
      <c r="C545" s="4">
        <v>-97.28</v>
      </c>
    </row>
    <row r="546" spans="1:3">
      <c r="A546" s="5">
        <v>46285</v>
      </c>
      <c r="B546" s="3" t="s">
        <v>585</v>
      </c>
      <c r="C546" s="4">
        <v>-12.88</v>
      </c>
    </row>
    <row r="547" spans="1:3">
      <c r="A547" s="5">
        <v>46285</v>
      </c>
      <c r="B547" s="3" t="s">
        <v>585</v>
      </c>
      <c r="C547" s="4">
        <v>-62.4</v>
      </c>
    </row>
    <row r="548" spans="1:3">
      <c r="A548" s="5">
        <v>46285</v>
      </c>
      <c r="B548" s="3" t="s">
        <v>585</v>
      </c>
      <c r="C548" s="4">
        <v>-109.2</v>
      </c>
    </row>
    <row r="549" spans="1:3">
      <c r="A549" s="5">
        <v>46285</v>
      </c>
      <c r="B549" s="3" t="s">
        <v>585</v>
      </c>
      <c r="C549" s="4">
        <v>-51</v>
      </c>
    </row>
    <row r="550" spans="1:3">
      <c r="A550" s="5">
        <v>46285</v>
      </c>
      <c r="B550" s="3" t="s">
        <v>585</v>
      </c>
      <c r="C550" s="4">
        <v>-93.13</v>
      </c>
    </row>
    <row r="551" spans="1:3">
      <c r="A551" s="5">
        <v>46285</v>
      </c>
      <c r="B551" s="3" t="s">
        <v>581</v>
      </c>
      <c r="C551" s="4">
        <v>-42</v>
      </c>
    </row>
    <row r="552" spans="1:3">
      <c r="A552" s="5">
        <v>46285</v>
      </c>
      <c r="B552" s="3" t="s">
        <v>581</v>
      </c>
      <c r="C552" s="4">
        <v>-42</v>
      </c>
    </row>
    <row r="553" spans="1:3">
      <c r="A553" s="5">
        <v>46285</v>
      </c>
      <c r="B553" s="3" t="s">
        <v>582</v>
      </c>
      <c r="C553" s="4">
        <v>1238.2</v>
      </c>
    </row>
    <row r="554" spans="1:3">
      <c r="A554" s="5">
        <v>46285</v>
      </c>
      <c r="B554" s="3" t="s">
        <v>582</v>
      </c>
      <c r="C554" s="4">
        <v>2598.29</v>
      </c>
    </row>
    <row r="555" spans="1:3">
      <c r="A555" s="5">
        <v>46285</v>
      </c>
      <c r="B555" s="3" t="s">
        <v>582</v>
      </c>
      <c r="C555" s="4">
        <v>1069.73</v>
      </c>
    </row>
    <row r="556" spans="1:3">
      <c r="A556" s="5">
        <v>46285</v>
      </c>
      <c r="B556" s="3" t="s">
        <v>586</v>
      </c>
      <c r="C556" s="4">
        <v>-6926.72</v>
      </c>
    </row>
    <row r="557" spans="1:3">
      <c r="A557" s="5">
        <v>46285</v>
      </c>
      <c r="B557" s="3" t="s">
        <v>583</v>
      </c>
      <c r="C557" s="4">
        <v>-107.64</v>
      </c>
    </row>
    <row r="558" spans="1:3">
      <c r="A558" s="5">
        <v>46285</v>
      </c>
      <c r="B558" s="3" t="s">
        <v>583</v>
      </c>
      <c r="C558" s="4">
        <v>-94.39</v>
      </c>
    </row>
    <row r="559" spans="1:3">
      <c r="A559" s="5">
        <v>46285</v>
      </c>
      <c r="B559" s="3" t="s">
        <v>584</v>
      </c>
      <c r="C559" s="4">
        <v>-5</v>
      </c>
    </row>
    <row r="560" spans="1:3">
      <c r="A560" s="5">
        <v>46285</v>
      </c>
      <c r="B560" s="3" t="s">
        <v>584</v>
      </c>
      <c r="C560" s="4">
        <v>-5</v>
      </c>
    </row>
    <row r="561" spans="1:3">
      <c r="A561" s="5">
        <v>46286</v>
      </c>
      <c r="B561" s="3" t="s">
        <v>585</v>
      </c>
      <c r="C561" s="4">
        <v>-113.4</v>
      </c>
    </row>
    <row r="562" spans="1:3">
      <c r="A562" s="5">
        <v>46286</v>
      </c>
      <c r="B562" s="3" t="s">
        <v>585</v>
      </c>
      <c r="C562" s="4">
        <v>-22.2</v>
      </c>
    </row>
    <row r="563" spans="1:3">
      <c r="A563" s="5">
        <v>46286</v>
      </c>
      <c r="B563" s="3" t="s">
        <v>585</v>
      </c>
      <c r="C563" s="4">
        <v>-59.4</v>
      </c>
    </row>
    <row r="564" spans="1:3">
      <c r="A564" s="5">
        <v>46286</v>
      </c>
      <c r="B564" s="3" t="s">
        <v>585</v>
      </c>
      <c r="C564" s="4">
        <v>-24.57</v>
      </c>
    </row>
    <row r="565" spans="1:3">
      <c r="A565" s="5">
        <v>46286</v>
      </c>
      <c r="B565" s="3" t="s">
        <v>585</v>
      </c>
      <c r="C565" s="4">
        <v>-17.7</v>
      </c>
    </row>
    <row r="566" spans="1:3">
      <c r="A566" s="5">
        <v>46286</v>
      </c>
      <c r="B566" s="3" t="s">
        <v>585</v>
      </c>
      <c r="C566" s="4">
        <v>-120.6</v>
      </c>
    </row>
    <row r="567" spans="1:3">
      <c r="A567" s="5">
        <v>46286</v>
      </c>
      <c r="B567" s="3" t="s">
        <v>581</v>
      </c>
      <c r="C567" s="4">
        <v>-6.5</v>
      </c>
    </row>
    <row r="568" spans="1:3">
      <c r="A568" s="5">
        <v>46286</v>
      </c>
      <c r="B568" s="3" t="s">
        <v>581</v>
      </c>
      <c r="C568" s="4">
        <v>-42</v>
      </c>
    </row>
    <row r="569" spans="1:3">
      <c r="A569" s="5">
        <v>46286</v>
      </c>
      <c r="B569" s="3" t="s">
        <v>581</v>
      </c>
      <c r="C569" s="4">
        <v>-42</v>
      </c>
    </row>
    <row r="570" spans="1:3">
      <c r="A570" s="5">
        <v>46286</v>
      </c>
      <c r="B570" s="3" t="s">
        <v>583</v>
      </c>
      <c r="C570" s="4">
        <v>-176.67</v>
      </c>
    </row>
    <row r="571" spans="1:3">
      <c r="A571" s="5">
        <v>46286</v>
      </c>
      <c r="B571" s="3" t="s">
        <v>584</v>
      </c>
      <c r="C571" s="4">
        <v>-5</v>
      </c>
    </row>
    <row r="572" spans="1:3">
      <c r="A572" s="5">
        <v>46287</v>
      </c>
      <c r="B572" s="3" t="s">
        <v>585</v>
      </c>
      <c r="C572" s="4">
        <v>-37.41</v>
      </c>
    </row>
    <row r="573" spans="1:3">
      <c r="A573" s="5">
        <v>46287</v>
      </c>
      <c r="B573" s="3" t="s">
        <v>585</v>
      </c>
      <c r="C573" s="4">
        <v>-67.08</v>
      </c>
    </row>
    <row r="574" spans="1:3">
      <c r="A574" s="5">
        <v>46287</v>
      </c>
      <c r="B574" s="3" t="s">
        <v>585</v>
      </c>
      <c r="C574" s="4">
        <v>-53.04</v>
      </c>
    </row>
    <row r="575" spans="1:3">
      <c r="A575" s="5">
        <v>46287</v>
      </c>
      <c r="B575" s="3" t="s">
        <v>585</v>
      </c>
      <c r="C575" s="4">
        <v>-78.84</v>
      </c>
    </row>
    <row r="576" spans="1:3">
      <c r="A576" s="5">
        <v>46287</v>
      </c>
      <c r="B576" s="3" t="s">
        <v>585</v>
      </c>
      <c r="C576" s="4">
        <v>-28.05</v>
      </c>
    </row>
    <row r="577" spans="1:3">
      <c r="A577" s="5">
        <v>46287</v>
      </c>
      <c r="B577" s="3" t="s">
        <v>585</v>
      </c>
      <c r="C577" s="4">
        <v>-40.92</v>
      </c>
    </row>
    <row r="578" spans="1:3">
      <c r="A578" s="5">
        <v>46287</v>
      </c>
      <c r="B578" s="3" t="s">
        <v>581</v>
      </c>
      <c r="C578" s="4">
        <v>-6.5</v>
      </c>
    </row>
    <row r="579" spans="1:3">
      <c r="A579" s="5">
        <v>46287</v>
      </c>
      <c r="B579" s="3" t="s">
        <v>581</v>
      </c>
      <c r="C579" s="4">
        <v>-42</v>
      </c>
    </row>
    <row r="580" spans="1:3">
      <c r="A580" s="5">
        <v>46287</v>
      </c>
      <c r="B580" s="3" t="s">
        <v>581</v>
      </c>
      <c r="C580" s="4">
        <v>-42</v>
      </c>
    </row>
    <row r="581" spans="1:3">
      <c r="A581" s="5">
        <v>46287</v>
      </c>
      <c r="B581" s="3" t="s">
        <v>582</v>
      </c>
      <c r="C581" s="4">
        <v>31.18</v>
      </c>
    </row>
    <row r="582" spans="1:3">
      <c r="A582" s="5">
        <v>46287</v>
      </c>
      <c r="B582" s="3" t="s">
        <v>582</v>
      </c>
      <c r="C582" s="4">
        <v>809.04</v>
      </c>
    </row>
    <row r="583" spans="1:3">
      <c r="A583" s="5">
        <v>46287</v>
      </c>
      <c r="B583" s="3" t="s">
        <v>582</v>
      </c>
      <c r="C583" s="4">
        <v>1383.91</v>
      </c>
    </row>
    <row r="584" spans="1:3">
      <c r="A584" s="5">
        <v>46287</v>
      </c>
      <c r="B584" s="3" t="s">
        <v>582</v>
      </c>
      <c r="C584" s="4">
        <v>688.35</v>
      </c>
    </row>
    <row r="585" spans="1:3">
      <c r="A585" s="5">
        <v>46287</v>
      </c>
      <c r="B585" s="3" t="s">
        <v>582</v>
      </c>
      <c r="C585" s="4">
        <v>1301.34</v>
      </c>
    </row>
    <row r="586" spans="1:3">
      <c r="A586" s="5">
        <v>46287</v>
      </c>
      <c r="B586" s="3" t="s">
        <v>582</v>
      </c>
      <c r="C586" s="4">
        <v>2220.89</v>
      </c>
    </row>
    <row r="587" spans="1:3">
      <c r="A587" s="5">
        <v>46287</v>
      </c>
      <c r="B587" s="3" t="s">
        <v>582</v>
      </c>
      <c r="C587" s="4">
        <v>2703.94</v>
      </c>
    </row>
    <row r="588" spans="1:3">
      <c r="A588" s="5">
        <v>46287</v>
      </c>
      <c r="B588" s="3" t="s">
        <v>582</v>
      </c>
      <c r="C588" s="4">
        <v>1199.27</v>
      </c>
    </row>
    <row r="589" spans="1:3">
      <c r="A589" s="5">
        <v>46287</v>
      </c>
      <c r="B589" s="3" t="s">
        <v>586</v>
      </c>
      <c r="C589" s="4">
        <v>-117.72</v>
      </c>
    </row>
    <row r="590" spans="1:3">
      <c r="A590" s="5">
        <v>46288</v>
      </c>
      <c r="B590" s="3" t="s">
        <v>585</v>
      </c>
      <c r="C590" s="4">
        <v>-19</v>
      </c>
    </row>
    <row r="591" spans="1:3">
      <c r="A591" s="5">
        <v>46288</v>
      </c>
      <c r="B591" s="3" t="s">
        <v>585</v>
      </c>
      <c r="C591" s="4">
        <v>-67.28</v>
      </c>
    </row>
    <row r="592" spans="1:3">
      <c r="A592" s="5">
        <v>46288</v>
      </c>
      <c r="B592" s="3" t="s">
        <v>585</v>
      </c>
      <c r="C592" s="4">
        <v>-101.46</v>
      </c>
    </row>
    <row r="593" spans="1:3">
      <c r="A593" s="5">
        <v>46288</v>
      </c>
      <c r="B593" s="3" t="s">
        <v>585</v>
      </c>
      <c r="C593" s="4">
        <v>-36.34</v>
      </c>
    </row>
    <row r="594" spans="1:3">
      <c r="A594" s="5">
        <v>46288</v>
      </c>
      <c r="B594" s="3" t="s">
        <v>585</v>
      </c>
      <c r="C594" s="4">
        <v>-30.03</v>
      </c>
    </row>
    <row r="595" spans="1:3">
      <c r="A595" s="5">
        <v>46288</v>
      </c>
      <c r="B595" s="3" t="s">
        <v>585</v>
      </c>
      <c r="C595" s="4">
        <v>-141.86</v>
      </c>
    </row>
    <row r="596" spans="1:3">
      <c r="A596" s="5">
        <v>46288</v>
      </c>
      <c r="B596" s="3" t="s">
        <v>581</v>
      </c>
      <c r="C596" s="4">
        <v>-6.5</v>
      </c>
    </row>
    <row r="597" spans="1:3">
      <c r="A597" s="5">
        <v>46289</v>
      </c>
      <c r="B597" s="3" t="s">
        <v>585</v>
      </c>
      <c r="C597" s="4">
        <v>-45.57</v>
      </c>
    </row>
    <row r="598" spans="1:3">
      <c r="A598" s="5">
        <v>46289</v>
      </c>
      <c r="B598" s="3" t="s">
        <v>585</v>
      </c>
      <c r="C598" s="4">
        <v>-122.84</v>
      </c>
    </row>
    <row r="599" spans="1:3">
      <c r="A599" s="5">
        <v>46289</v>
      </c>
      <c r="B599" s="3" t="s">
        <v>585</v>
      </c>
      <c r="C599" s="4">
        <v>-24.16</v>
      </c>
    </row>
    <row r="600" spans="1:3">
      <c r="A600" s="5">
        <v>46289</v>
      </c>
      <c r="B600" s="3" t="s">
        <v>585</v>
      </c>
      <c r="C600" s="4">
        <v>-69.56</v>
      </c>
    </row>
    <row r="601" spans="1:3">
      <c r="A601" s="5">
        <v>46289</v>
      </c>
      <c r="B601" s="3" t="s">
        <v>585</v>
      </c>
      <c r="C601" s="4">
        <v>-78.66</v>
      </c>
    </row>
    <row r="602" spans="1:3">
      <c r="A602" s="5">
        <v>46289</v>
      </c>
      <c r="B602" s="3" t="s">
        <v>585</v>
      </c>
      <c r="C602" s="4">
        <v>-36</v>
      </c>
    </row>
    <row r="603" spans="1:3">
      <c r="A603" s="5">
        <v>46289</v>
      </c>
      <c r="B603" s="3" t="s">
        <v>581</v>
      </c>
      <c r="C603" s="4">
        <v>-42</v>
      </c>
    </row>
    <row r="604" spans="1:3">
      <c r="A604" s="5">
        <v>46289</v>
      </c>
      <c r="B604" s="3" t="s">
        <v>581</v>
      </c>
      <c r="C604" s="4">
        <v>-6.5</v>
      </c>
    </row>
    <row r="605" spans="1:3">
      <c r="A605" s="5">
        <v>46289</v>
      </c>
      <c r="B605" s="3" t="s">
        <v>582</v>
      </c>
      <c r="C605" s="4">
        <v>1021.68</v>
      </c>
    </row>
    <row r="606" spans="1:3">
      <c r="A606" s="5">
        <v>46289</v>
      </c>
      <c r="B606" s="3" t="s">
        <v>582</v>
      </c>
      <c r="C606" s="4">
        <v>5.28</v>
      </c>
    </row>
    <row r="607" spans="1:3">
      <c r="A607" s="5">
        <v>46289</v>
      </c>
      <c r="B607" s="3" t="s">
        <v>586</v>
      </c>
      <c r="C607" s="4">
        <v>-160.92</v>
      </c>
    </row>
    <row r="608" spans="1:3">
      <c r="A608" s="5">
        <v>46290</v>
      </c>
      <c r="B608" s="3" t="s">
        <v>585</v>
      </c>
      <c r="C608" s="4">
        <v>-89.91</v>
      </c>
    </row>
    <row r="609" spans="1:3">
      <c r="A609" s="5">
        <v>46290</v>
      </c>
      <c r="B609" s="3" t="s">
        <v>585</v>
      </c>
      <c r="C609" s="4">
        <v>-85</v>
      </c>
    </row>
    <row r="610" spans="1:3">
      <c r="A610" s="5">
        <v>46290</v>
      </c>
      <c r="B610" s="3" t="s">
        <v>585</v>
      </c>
      <c r="C610" s="4">
        <v>-53.11</v>
      </c>
    </row>
    <row r="611" spans="1:3">
      <c r="A611" s="5">
        <v>46290</v>
      </c>
      <c r="B611" s="3" t="s">
        <v>585</v>
      </c>
      <c r="C611" s="4">
        <v>-60.84</v>
      </c>
    </row>
    <row r="612" spans="1:3">
      <c r="A612" s="5">
        <v>46290</v>
      </c>
      <c r="B612" s="3" t="s">
        <v>585</v>
      </c>
      <c r="C612" s="4">
        <v>-43.89</v>
      </c>
    </row>
    <row r="613" spans="1:3">
      <c r="A613" s="5">
        <v>46290</v>
      </c>
      <c r="B613" s="3" t="s">
        <v>585</v>
      </c>
      <c r="C613" s="4">
        <v>-100</v>
      </c>
    </row>
    <row r="614" spans="1:3">
      <c r="A614" s="5">
        <v>46290</v>
      </c>
      <c r="B614" s="3" t="s">
        <v>583</v>
      </c>
      <c r="C614" s="4">
        <v>-105</v>
      </c>
    </row>
    <row r="615" spans="1:3">
      <c r="A615" s="5">
        <v>46290</v>
      </c>
      <c r="B615" s="3" t="s">
        <v>584</v>
      </c>
      <c r="C615" s="4">
        <v>-5</v>
      </c>
    </row>
    <row r="616" spans="1:3">
      <c r="A616" s="5">
        <v>46291</v>
      </c>
      <c r="B616" s="3" t="s">
        <v>585</v>
      </c>
      <c r="C616" s="4">
        <v>-37.41</v>
      </c>
    </row>
    <row r="617" spans="1:3">
      <c r="A617" s="5">
        <v>46291</v>
      </c>
      <c r="B617" s="3" t="s">
        <v>585</v>
      </c>
      <c r="C617" s="4">
        <v>-131.97</v>
      </c>
    </row>
    <row r="618" spans="1:3">
      <c r="A618" s="5">
        <v>46291</v>
      </c>
      <c r="B618" s="3" t="s">
        <v>585</v>
      </c>
      <c r="C618" s="4">
        <v>-12</v>
      </c>
    </row>
    <row r="619" spans="1:3">
      <c r="A619" s="5">
        <v>46291</v>
      </c>
      <c r="B619" s="3" t="s">
        <v>585</v>
      </c>
      <c r="C619" s="4">
        <v>-75.59999999999999</v>
      </c>
    </row>
    <row r="620" spans="1:3">
      <c r="A620" s="5">
        <v>46291</v>
      </c>
      <c r="B620" s="3" t="s">
        <v>585</v>
      </c>
      <c r="C620" s="4">
        <v>-84.36</v>
      </c>
    </row>
    <row r="621" spans="1:3">
      <c r="A621" s="5">
        <v>46291</v>
      </c>
      <c r="B621" s="3" t="s">
        <v>585</v>
      </c>
      <c r="C621" s="4">
        <v>-50.84</v>
      </c>
    </row>
    <row r="622" spans="1:3">
      <c r="A622" s="5">
        <v>46291</v>
      </c>
      <c r="B622" s="3" t="s">
        <v>581</v>
      </c>
      <c r="C622" s="4">
        <v>-42</v>
      </c>
    </row>
    <row r="623" spans="1:3">
      <c r="A623" s="5">
        <v>46291</v>
      </c>
      <c r="B623" s="3" t="s">
        <v>581</v>
      </c>
      <c r="C623" s="4">
        <v>-42</v>
      </c>
    </row>
    <row r="624" spans="1:3">
      <c r="A624" s="5">
        <v>46291</v>
      </c>
      <c r="B624" s="3" t="s">
        <v>582</v>
      </c>
      <c r="C624" s="4">
        <v>1595.84</v>
      </c>
    </row>
    <row r="625" spans="1:3">
      <c r="A625" s="5">
        <v>46291</v>
      </c>
      <c r="B625" s="3" t="s">
        <v>582</v>
      </c>
      <c r="C625" s="4">
        <v>118.97</v>
      </c>
    </row>
    <row r="626" spans="1:3">
      <c r="A626" s="5">
        <v>46291</v>
      </c>
      <c r="B626" s="3" t="s">
        <v>582</v>
      </c>
      <c r="C626" s="4">
        <v>822.5</v>
      </c>
    </row>
    <row r="627" spans="1:3">
      <c r="A627" s="5">
        <v>46291</v>
      </c>
      <c r="B627" s="3" t="s">
        <v>582</v>
      </c>
      <c r="C627" s="4">
        <v>822.91</v>
      </c>
    </row>
    <row r="628" spans="1:3">
      <c r="A628" s="5">
        <v>46292</v>
      </c>
      <c r="B628" s="3" t="s">
        <v>585</v>
      </c>
      <c r="C628" s="4">
        <v>-54.74</v>
      </c>
    </row>
    <row r="629" spans="1:3">
      <c r="A629" s="5">
        <v>46292</v>
      </c>
      <c r="B629" s="3" t="s">
        <v>585</v>
      </c>
      <c r="C629" s="4">
        <v>-40.25</v>
      </c>
    </row>
    <row r="630" spans="1:3">
      <c r="A630" s="5">
        <v>46292</v>
      </c>
      <c r="B630" s="3" t="s">
        <v>585</v>
      </c>
      <c r="C630" s="4">
        <v>-27.2</v>
      </c>
    </row>
    <row r="631" spans="1:3">
      <c r="A631" s="5">
        <v>46292</v>
      </c>
      <c r="B631" s="3" t="s">
        <v>585</v>
      </c>
      <c r="C631" s="4">
        <v>-83.59999999999999</v>
      </c>
    </row>
    <row r="632" spans="1:3">
      <c r="A632" s="5">
        <v>46292</v>
      </c>
      <c r="B632" s="3" t="s">
        <v>585</v>
      </c>
      <c r="C632" s="4">
        <v>-40.25</v>
      </c>
    </row>
    <row r="633" spans="1:3">
      <c r="A633" s="5">
        <v>46292</v>
      </c>
      <c r="B633" s="3" t="s">
        <v>585</v>
      </c>
      <c r="C633" s="4">
        <v>-33.92</v>
      </c>
    </row>
    <row r="634" spans="1:3">
      <c r="A634" s="5">
        <v>46292</v>
      </c>
      <c r="B634" s="3" t="s">
        <v>581</v>
      </c>
      <c r="C634" s="4">
        <v>-6.5</v>
      </c>
    </row>
    <row r="635" spans="1:3">
      <c r="A635" s="5">
        <v>46292</v>
      </c>
      <c r="B635" s="3" t="s">
        <v>581</v>
      </c>
      <c r="C635" s="4">
        <v>-6.5</v>
      </c>
    </row>
    <row r="636" spans="1:3">
      <c r="A636" s="5">
        <v>46293</v>
      </c>
      <c r="B636" s="3" t="s">
        <v>585</v>
      </c>
      <c r="C636" s="4">
        <v>-88.44</v>
      </c>
    </row>
    <row r="637" spans="1:3">
      <c r="A637" s="5">
        <v>46293</v>
      </c>
      <c r="B637" s="3" t="s">
        <v>585</v>
      </c>
      <c r="C637" s="4">
        <v>-75.40000000000001</v>
      </c>
    </row>
    <row r="638" spans="1:3">
      <c r="A638" s="5">
        <v>46293</v>
      </c>
      <c r="B638" s="3" t="s">
        <v>585</v>
      </c>
      <c r="C638" s="4">
        <v>-81.2</v>
      </c>
    </row>
    <row r="639" spans="1:3">
      <c r="A639" s="5">
        <v>46293</v>
      </c>
      <c r="B639" s="3" t="s">
        <v>585</v>
      </c>
      <c r="C639" s="4">
        <v>-76.5</v>
      </c>
    </row>
    <row r="640" spans="1:3">
      <c r="A640" s="5">
        <v>46293</v>
      </c>
      <c r="B640" s="3" t="s">
        <v>585</v>
      </c>
      <c r="C640" s="4">
        <v>-97.02</v>
      </c>
    </row>
    <row r="641" spans="1:3">
      <c r="A641" s="5">
        <v>46293</v>
      </c>
      <c r="B641" s="3" t="s">
        <v>585</v>
      </c>
      <c r="C641" s="4">
        <v>-17.85</v>
      </c>
    </row>
    <row r="642" spans="1:3">
      <c r="A642" s="5">
        <v>46293</v>
      </c>
      <c r="B642" s="3" t="s">
        <v>581</v>
      </c>
      <c r="C642" s="4">
        <v>-42</v>
      </c>
    </row>
    <row r="643" spans="1:3">
      <c r="A643" s="5">
        <v>46293</v>
      </c>
      <c r="B643" s="3" t="s">
        <v>581</v>
      </c>
      <c r="C643" s="4">
        <v>-42</v>
      </c>
    </row>
    <row r="644" spans="1:3">
      <c r="A644" s="5">
        <v>46293</v>
      </c>
      <c r="B644" s="3" t="s">
        <v>581</v>
      </c>
      <c r="C644" s="4">
        <v>-42</v>
      </c>
    </row>
    <row r="645" spans="1:3">
      <c r="A645" s="5">
        <v>46293</v>
      </c>
      <c r="B645" s="3" t="s">
        <v>582</v>
      </c>
      <c r="C645" s="4">
        <v>692.21</v>
      </c>
    </row>
    <row r="646" spans="1:3">
      <c r="A646" s="5">
        <v>46293</v>
      </c>
      <c r="B646" s="3" t="s">
        <v>582</v>
      </c>
      <c r="C646" s="4">
        <v>634.4400000000001</v>
      </c>
    </row>
    <row r="647" spans="1:3">
      <c r="A647" s="5">
        <v>46294</v>
      </c>
      <c r="B647" s="3" t="s">
        <v>585</v>
      </c>
      <c r="C647" s="4">
        <v>-93.09</v>
      </c>
    </row>
    <row r="648" spans="1:3">
      <c r="A648" s="5">
        <v>46294</v>
      </c>
      <c r="B648" s="3" t="s">
        <v>585</v>
      </c>
      <c r="C648" s="4">
        <v>-56.8</v>
      </c>
    </row>
    <row r="649" spans="1:3">
      <c r="A649" s="5">
        <v>46294</v>
      </c>
      <c r="B649" s="3" t="s">
        <v>585</v>
      </c>
      <c r="C649" s="4">
        <v>-42.56</v>
      </c>
    </row>
    <row r="650" spans="1:3">
      <c r="A650" s="5">
        <v>46294</v>
      </c>
      <c r="B650" s="3" t="s">
        <v>585</v>
      </c>
      <c r="C650" s="4">
        <v>-40.08</v>
      </c>
    </row>
    <row r="651" spans="1:3">
      <c r="A651" s="5">
        <v>46294</v>
      </c>
      <c r="B651" s="3" t="s">
        <v>585</v>
      </c>
      <c r="C651" s="4">
        <v>-120.45</v>
      </c>
    </row>
    <row r="652" spans="1:3">
      <c r="A652" s="5">
        <v>46294</v>
      </c>
      <c r="B652" s="3" t="s">
        <v>585</v>
      </c>
      <c r="C652" s="4">
        <v>-90.72</v>
      </c>
    </row>
    <row r="653" spans="1:3">
      <c r="A653" s="5">
        <v>46294</v>
      </c>
      <c r="B653" s="3" t="s">
        <v>581</v>
      </c>
      <c r="C653" s="4">
        <v>-42</v>
      </c>
    </row>
    <row r="654" spans="1:3">
      <c r="A654" s="5">
        <v>46294</v>
      </c>
      <c r="B654" s="3" t="s">
        <v>581</v>
      </c>
      <c r="C654" s="4">
        <v>-42</v>
      </c>
    </row>
    <row r="655" spans="1:3">
      <c r="A655" s="5">
        <v>46294</v>
      </c>
      <c r="B655" s="3" t="s">
        <v>581</v>
      </c>
      <c r="C655" s="4">
        <v>-6.5</v>
      </c>
    </row>
    <row r="656" spans="1:3">
      <c r="A656" s="5">
        <v>46294</v>
      </c>
      <c r="B656" s="3" t="s">
        <v>583</v>
      </c>
      <c r="C656" s="4">
        <v>-5.3</v>
      </c>
    </row>
    <row r="657" spans="1:3">
      <c r="A657" s="5">
        <v>46294</v>
      </c>
      <c r="B657" s="3" t="s">
        <v>584</v>
      </c>
      <c r="C657" s="4">
        <v>-5</v>
      </c>
    </row>
    <row r="658" spans="1:3">
      <c r="A658" s="5">
        <v>46295</v>
      </c>
      <c r="B658" s="3" t="s">
        <v>585</v>
      </c>
      <c r="C658" s="4">
        <v>-45.57</v>
      </c>
    </row>
    <row r="659" spans="1:3">
      <c r="A659" s="5">
        <v>46295</v>
      </c>
      <c r="B659" s="3" t="s">
        <v>585</v>
      </c>
      <c r="C659" s="4">
        <v>-52.38</v>
      </c>
    </row>
    <row r="660" spans="1:3">
      <c r="A660" s="5">
        <v>46295</v>
      </c>
      <c r="B660" s="3" t="s">
        <v>585</v>
      </c>
      <c r="C660" s="4">
        <v>-92.34</v>
      </c>
    </row>
    <row r="661" spans="1:3">
      <c r="A661" s="5">
        <v>46295</v>
      </c>
      <c r="B661" s="3" t="s">
        <v>585</v>
      </c>
      <c r="C661" s="4">
        <v>-10.24</v>
      </c>
    </row>
    <row r="662" spans="1:3">
      <c r="A662" s="5">
        <v>46295</v>
      </c>
      <c r="B662" s="3" t="s">
        <v>585</v>
      </c>
      <c r="C662" s="4">
        <v>-73.08</v>
      </c>
    </row>
    <row r="663" spans="1:3">
      <c r="A663" s="5">
        <v>46295</v>
      </c>
      <c r="B663" s="3" t="s">
        <v>585</v>
      </c>
      <c r="C663" s="4">
        <v>-53.04</v>
      </c>
    </row>
    <row r="664" spans="1:3">
      <c r="A664" s="5">
        <v>46295</v>
      </c>
      <c r="B664" s="3" t="s">
        <v>581</v>
      </c>
      <c r="C664" s="4">
        <v>-42</v>
      </c>
    </row>
    <row r="665" spans="1:3">
      <c r="A665" s="5">
        <v>46295</v>
      </c>
      <c r="B665" s="3" t="s">
        <v>581</v>
      </c>
      <c r="C665" s="4">
        <v>-6.5</v>
      </c>
    </row>
    <row r="666" spans="1:3">
      <c r="A666" s="5">
        <v>46295</v>
      </c>
      <c r="B666" s="3" t="s">
        <v>581</v>
      </c>
      <c r="C666" s="4">
        <v>-42</v>
      </c>
    </row>
    <row r="667" spans="1:3">
      <c r="A667" s="5">
        <v>46295</v>
      </c>
      <c r="B667" s="3" t="s">
        <v>582</v>
      </c>
      <c r="C667" s="4">
        <v>41.55</v>
      </c>
    </row>
    <row r="668" spans="1:3">
      <c r="A668" s="5">
        <v>46295</v>
      </c>
      <c r="B668" s="3" t="s">
        <v>582</v>
      </c>
      <c r="C668" s="4">
        <v>2017.82</v>
      </c>
    </row>
    <row r="669" spans="1:3">
      <c r="A669" s="5">
        <v>46295</v>
      </c>
      <c r="B669" s="3" t="s">
        <v>582</v>
      </c>
      <c r="C669" s="4">
        <v>3261.65</v>
      </c>
    </row>
    <row r="670" spans="1:3">
      <c r="A670" s="5">
        <v>46295</v>
      </c>
      <c r="B670" s="3" t="s">
        <v>582</v>
      </c>
      <c r="C670" s="4">
        <v>12.87</v>
      </c>
    </row>
    <row r="671" spans="1:3">
      <c r="A671" s="5">
        <v>46295</v>
      </c>
      <c r="B671" s="3" t="s">
        <v>582</v>
      </c>
      <c r="C671" s="4">
        <v>421.74</v>
      </c>
    </row>
    <row r="672" spans="1:3">
      <c r="A672" s="5">
        <v>46295</v>
      </c>
      <c r="B672" s="3" t="s">
        <v>583</v>
      </c>
      <c r="C672" s="4">
        <v>-350.04</v>
      </c>
    </row>
    <row r="673" spans="1:3">
      <c r="A673" s="5">
        <v>46295</v>
      </c>
      <c r="B673" s="3" t="s">
        <v>584</v>
      </c>
      <c r="C673" s="4">
        <v>-5</v>
      </c>
    </row>
  </sheetData>
  <autoFilter ref="A1:C673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4" width="18.7109375" style="3" customWidth="1"/>
  </cols>
  <sheetData>
    <row r="1" spans="1:4" ht="32" customHeight="1">
      <c r="A1" s="1" t="s">
        <v>587</v>
      </c>
      <c r="B1" s="1" t="s">
        <v>588</v>
      </c>
      <c r="C1" s="1" t="s">
        <v>589</v>
      </c>
      <c r="D1" s="1" t="s">
        <v>590</v>
      </c>
    </row>
    <row r="2" spans="1:4">
      <c r="A2" s="3" t="s">
        <v>591</v>
      </c>
      <c r="B2" s="3" t="s">
        <v>592</v>
      </c>
      <c r="C2" s="3" t="s">
        <v>593</v>
      </c>
      <c r="D2" s="3">
        <v>10000</v>
      </c>
    </row>
    <row r="3" spans="1:4">
      <c r="A3" s="3" t="s">
        <v>594</v>
      </c>
      <c r="B3" s="3" t="s">
        <v>592</v>
      </c>
      <c r="C3" s="3" t="s">
        <v>595</v>
      </c>
      <c r="D3" s="3">
        <v>12000</v>
      </c>
    </row>
    <row r="4" spans="1:4">
      <c r="A4" s="3" t="s">
        <v>596</v>
      </c>
      <c r="B4" s="3" t="s">
        <v>597</v>
      </c>
      <c r="C4" s="3" t="s">
        <v>593</v>
      </c>
      <c r="D4" s="3">
        <v>8000</v>
      </c>
    </row>
    <row r="5" spans="1:4">
      <c r="A5" s="3" t="s">
        <v>598</v>
      </c>
      <c r="B5" s="3" t="s">
        <v>599</v>
      </c>
      <c r="C5" s="3" t="s">
        <v>593</v>
      </c>
      <c r="D5" s="3">
        <v>9000</v>
      </c>
    </row>
    <row r="6" spans="1:4">
      <c r="A6" s="3" t="s">
        <v>600</v>
      </c>
      <c r="B6" s="3" t="s">
        <v>599</v>
      </c>
      <c r="C6" s="3" t="s">
        <v>601</v>
      </c>
      <c r="D6" s="3">
        <v>9000</v>
      </c>
    </row>
  </sheetData>
  <autoFilter ref="A1:D6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3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2" width="20.7109375" style="3" customWidth="1"/>
    <col min="3" max="3" width="75.7109375" style="2" customWidth="1"/>
    <col min="4" max="4" width="20.7109375" style="3" customWidth="1"/>
    <col min="5" max="5" width="55.7109375" style="6" customWidth="1"/>
  </cols>
  <sheetData>
    <row r="1" spans="1:5" ht="32" customHeight="1">
      <c r="A1" s="1" t="s">
        <v>602</v>
      </c>
      <c r="B1" s="1" t="s">
        <v>603</v>
      </c>
      <c r="C1" s="1" t="s">
        <v>604</v>
      </c>
      <c r="D1" s="1" t="s">
        <v>605</v>
      </c>
      <c r="E1" s="1" t="s">
        <v>606</v>
      </c>
    </row>
    <row r="2" spans="1:5" ht="48" customHeight="1">
      <c r="A2" s="3" t="s">
        <v>607</v>
      </c>
      <c r="B2" s="3" t="s">
        <v>608</v>
      </c>
      <c r="C2" s="3" t="s">
        <v>609</v>
      </c>
      <c r="D2" s="3" t="s">
        <v>610</v>
      </c>
      <c r="E2" s="3"/>
    </row>
    <row r="3" spans="1:5" ht="48" customHeight="1">
      <c r="A3" s="3" t="s">
        <v>611</v>
      </c>
      <c r="B3" s="3" t="s">
        <v>612</v>
      </c>
      <c r="C3" s="3" t="s">
        <v>613</v>
      </c>
      <c r="D3" s="3" t="s">
        <v>610</v>
      </c>
      <c r="E3" s="3"/>
    </row>
    <row r="4" spans="1:5" ht="48" customHeight="1">
      <c r="A4" s="3" t="s">
        <v>614</v>
      </c>
      <c r="B4" s="3" t="s">
        <v>57</v>
      </c>
      <c r="C4" s="3" t="s">
        <v>615</v>
      </c>
      <c r="D4" s="3" t="s">
        <v>610</v>
      </c>
      <c r="E4" s="3"/>
    </row>
    <row r="5" spans="1:5" ht="48" customHeight="1">
      <c r="A5" s="3" t="s">
        <v>616</v>
      </c>
      <c r="B5" s="3" t="s">
        <v>617</v>
      </c>
      <c r="C5" s="3" t="s">
        <v>618</v>
      </c>
      <c r="D5" s="3" t="s">
        <v>610</v>
      </c>
      <c r="E5" s="3"/>
    </row>
    <row r="6" spans="1:5" ht="48" customHeight="1">
      <c r="A6" s="3" t="s">
        <v>619</v>
      </c>
      <c r="B6" s="3" t="s">
        <v>620</v>
      </c>
      <c r="C6" s="3" t="s">
        <v>621</v>
      </c>
      <c r="D6" s="3" t="s">
        <v>610</v>
      </c>
      <c r="E6" s="3"/>
    </row>
    <row r="7" spans="1:5" ht="48" customHeight="1">
      <c r="A7" s="3" t="s">
        <v>622</v>
      </c>
      <c r="B7" s="3" t="s">
        <v>623</v>
      </c>
      <c r="C7" s="3" t="s">
        <v>624</v>
      </c>
      <c r="D7" s="3" t="s">
        <v>610</v>
      </c>
      <c r="E7" s="3"/>
    </row>
    <row r="8" spans="1:5" ht="48" customHeight="1">
      <c r="A8" s="3" t="s">
        <v>625</v>
      </c>
      <c r="B8" s="3" t="s">
        <v>626</v>
      </c>
      <c r="C8" s="3" t="s">
        <v>627</v>
      </c>
      <c r="D8" s="3" t="s">
        <v>610</v>
      </c>
      <c r="E8" s="3"/>
    </row>
    <row r="9" spans="1:5" ht="48" customHeight="1">
      <c r="A9" s="3" t="s">
        <v>628</v>
      </c>
      <c r="B9" s="3" t="s">
        <v>629</v>
      </c>
      <c r="C9" s="3" t="s">
        <v>630</v>
      </c>
      <c r="D9" s="3" t="s">
        <v>610</v>
      </c>
      <c r="E9" s="3"/>
    </row>
    <row r="10" spans="1:5" ht="48" customHeight="1">
      <c r="A10" s="3" t="s">
        <v>631</v>
      </c>
      <c r="B10" s="3" t="s">
        <v>632</v>
      </c>
      <c r="C10" s="3" t="s">
        <v>633</v>
      </c>
      <c r="D10" s="3" t="s">
        <v>610</v>
      </c>
      <c r="E10" s="3"/>
    </row>
    <row r="11" spans="1:5" ht="48" customHeight="1">
      <c r="A11" s="3" t="s">
        <v>634</v>
      </c>
      <c r="B11" s="3" t="s">
        <v>635</v>
      </c>
      <c r="C11" s="3" t="s">
        <v>636</v>
      </c>
      <c r="D11" s="3" t="s">
        <v>610</v>
      </c>
      <c r="E11" s="3"/>
    </row>
    <row r="12" spans="1:5" ht="48" customHeight="1">
      <c r="A12" s="3" t="s">
        <v>637</v>
      </c>
      <c r="B12" s="3" t="s">
        <v>638</v>
      </c>
      <c r="C12" s="3" t="s">
        <v>639</v>
      </c>
      <c r="D12" s="3" t="s">
        <v>610</v>
      </c>
      <c r="E12" s="3"/>
    </row>
    <row r="13" spans="1:5" ht="48" customHeight="1">
      <c r="A13" s="3" t="s">
        <v>640</v>
      </c>
      <c r="B13" s="3" t="s">
        <v>641</v>
      </c>
      <c r="C13" s="3" t="s">
        <v>642</v>
      </c>
      <c r="D13" s="3" t="s">
        <v>610</v>
      </c>
      <c r="E13" s="3"/>
    </row>
    <row r="14" spans="1:5" ht="48" customHeight="1">
      <c r="A14" s="3" t="s">
        <v>643</v>
      </c>
      <c r="B14" s="3" t="s">
        <v>644</v>
      </c>
      <c r="C14" s="3" t="s">
        <v>645</v>
      </c>
      <c r="D14" s="3" t="s">
        <v>610</v>
      </c>
      <c r="E14" s="3"/>
    </row>
    <row r="15" spans="1:5" ht="48" customHeight="1">
      <c r="A15" s="3" t="s">
        <v>646</v>
      </c>
      <c r="B15" s="3" t="s">
        <v>647</v>
      </c>
      <c r="C15" s="3" t="s">
        <v>648</v>
      </c>
      <c r="D15" s="3" t="s">
        <v>610</v>
      </c>
      <c r="E15" s="3"/>
    </row>
    <row r="16" spans="1:5" ht="48" customHeight="1">
      <c r="A16" s="3" t="s">
        <v>649</v>
      </c>
      <c r="B16" s="3" t="s">
        <v>650</v>
      </c>
      <c r="C16" s="3" t="s">
        <v>651</v>
      </c>
      <c r="D16" s="3" t="s">
        <v>610</v>
      </c>
      <c r="E16" s="3"/>
    </row>
    <row r="17" spans="1:5" ht="48" customHeight="1">
      <c r="A17" s="3" t="s">
        <v>652</v>
      </c>
      <c r="B17" s="3" t="s">
        <v>653</v>
      </c>
      <c r="C17" s="3" t="s">
        <v>654</v>
      </c>
      <c r="D17" s="3" t="s">
        <v>610</v>
      </c>
      <c r="E17" s="3"/>
    </row>
    <row r="18" spans="1:5" ht="48" customHeight="1">
      <c r="A18" s="3" t="s">
        <v>655</v>
      </c>
      <c r="B18" s="3" t="s">
        <v>656</v>
      </c>
      <c r="C18" s="3" t="s">
        <v>657</v>
      </c>
      <c r="D18" s="3" t="s">
        <v>610</v>
      </c>
      <c r="E18" s="3"/>
    </row>
    <row r="19" spans="1:5" ht="48" customHeight="1">
      <c r="A19" s="3" t="s">
        <v>658</v>
      </c>
      <c r="B19" s="3" t="s">
        <v>659</v>
      </c>
      <c r="C19" s="3" t="s">
        <v>660</v>
      </c>
      <c r="D19" s="3" t="s">
        <v>610</v>
      </c>
      <c r="E19" s="3"/>
    </row>
    <row r="20" spans="1:5" ht="48" customHeight="1">
      <c r="A20" s="3" t="s">
        <v>661</v>
      </c>
      <c r="B20" s="3" t="s">
        <v>662</v>
      </c>
      <c r="C20" s="3" t="s">
        <v>663</v>
      </c>
      <c r="D20" s="3" t="s">
        <v>610</v>
      </c>
      <c r="E20" s="3"/>
    </row>
    <row r="21" spans="1:5" ht="48" customHeight="1">
      <c r="A21" s="3" t="s">
        <v>664</v>
      </c>
      <c r="B21" s="3" t="s">
        <v>665</v>
      </c>
      <c r="C21" s="3" t="s">
        <v>666</v>
      </c>
      <c r="D21" s="3" t="s">
        <v>610</v>
      </c>
      <c r="E21" s="3"/>
    </row>
    <row r="22" spans="1:5" ht="48" customHeight="1">
      <c r="A22" s="3" t="s">
        <v>667</v>
      </c>
      <c r="B22" s="3" t="s">
        <v>668</v>
      </c>
      <c r="C22" s="3" t="s">
        <v>669</v>
      </c>
      <c r="D22" s="3" t="s">
        <v>610</v>
      </c>
      <c r="E22" s="3"/>
    </row>
    <row r="23" spans="1:5" ht="48" customHeight="1">
      <c r="A23" s="3" t="s">
        <v>670</v>
      </c>
      <c r="B23" s="3" t="s">
        <v>671</v>
      </c>
      <c r="C23" s="3" t="s">
        <v>672</v>
      </c>
      <c r="D23" s="3" t="s">
        <v>610</v>
      </c>
      <c r="E23" s="3"/>
    </row>
    <row r="24" spans="1:5" ht="48" customHeight="1">
      <c r="A24" s="3" t="s">
        <v>673</v>
      </c>
      <c r="B24" s="3" t="s">
        <v>674</v>
      </c>
      <c r="C24" s="3" t="s">
        <v>675</v>
      </c>
      <c r="D24" s="3" t="s">
        <v>610</v>
      </c>
      <c r="E24" s="3"/>
    </row>
    <row r="25" spans="1:5" ht="48" customHeight="1">
      <c r="A25" s="3" t="s">
        <v>676</v>
      </c>
      <c r="B25" s="3" t="s">
        <v>677</v>
      </c>
      <c r="C25" s="3" t="s">
        <v>678</v>
      </c>
      <c r="D25" s="3" t="s">
        <v>610</v>
      </c>
      <c r="E25" s="3"/>
    </row>
    <row r="26" spans="1:5" ht="48" customHeight="1">
      <c r="A26" s="3" t="s">
        <v>679</v>
      </c>
      <c r="B26" s="3" t="s">
        <v>680</v>
      </c>
      <c r="C26" s="3" t="s">
        <v>681</v>
      </c>
      <c r="D26" s="3" t="s">
        <v>682</v>
      </c>
      <c r="E26" s="3"/>
    </row>
    <row r="27" spans="1:5" ht="48" customHeight="1">
      <c r="A27" s="3" t="s">
        <v>683</v>
      </c>
      <c r="B27" s="3" t="s">
        <v>684</v>
      </c>
      <c r="C27" s="3" t="s">
        <v>685</v>
      </c>
      <c r="D27" s="3" t="s">
        <v>682</v>
      </c>
      <c r="E27" s="3"/>
    </row>
    <row r="28" spans="1:5" ht="48" customHeight="1">
      <c r="A28" s="3" t="s">
        <v>686</v>
      </c>
      <c r="B28" s="3" t="s">
        <v>687</v>
      </c>
      <c r="C28" s="3" t="s">
        <v>688</v>
      </c>
      <c r="D28" s="3" t="s">
        <v>682</v>
      </c>
      <c r="E28" s="3"/>
    </row>
    <row r="29" spans="1:5" ht="48" customHeight="1">
      <c r="A29" s="3" t="s">
        <v>689</v>
      </c>
      <c r="B29" s="3" t="s">
        <v>690</v>
      </c>
      <c r="C29" s="3" t="s">
        <v>691</v>
      </c>
      <c r="D29" s="3" t="s">
        <v>682</v>
      </c>
      <c r="E29" s="3"/>
    </row>
    <row r="30" spans="1:5" ht="48" customHeight="1">
      <c r="A30" s="3" t="s">
        <v>692</v>
      </c>
      <c r="B30" s="3" t="s">
        <v>693</v>
      </c>
      <c r="C30" s="3" t="s">
        <v>694</v>
      </c>
      <c r="D30" s="3" t="s">
        <v>682</v>
      </c>
      <c r="E30" s="3"/>
    </row>
    <row r="31" spans="1:5" ht="48" customHeight="1">
      <c r="A31" s="3" t="s">
        <v>695</v>
      </c>
      <c r="B31" s="3" t="s">
        <v>696</v>
      </c>
      <c r="C31" s="3" t="s">
        <v>697</v>
      </c>
      <c r="D31" s="3" t="s">
        <v>682</v>
      </c>
      <c r="E31" s="3"/>
    </row>
  </sheetData>
  <autoFilter ref="A1:E3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1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0.7109375" customWidth="1"/>
    <col min="2" max="2" width="22.7109375" customWidth="1"/>
    <col min="3" max="4" width="60.7109375" style="2" customWidth="1"/>
    <col min="5" max="6" width="20.7109375" customWidth="1"/>
    <col min="7" max="7" width="12.7109375" customWidth="1"/>
  </cols>
  <sheetData>
    <row r="1" spans="1:7">
      <c r="A1" s="1" t="s">
        <v>602</v>
      </c>
      <c r="B1" s="1" t="s">
        <v>603</v>
      </c>
      <c r="C1" s="1" t="s">
        <v>698</v>
      </c>
      <c r="D1" s="1" t="s">
        <v>699</v>
      </c>
      <c r="E1" s="1" t="s">
        <v>700</v>
      </c>
      <c r="F1" s="1" t="s">
        <v>701</v>
      </c>
      <c r="G1" s="1" t="s">
        <v>702</v>
      </c>
    </row>
    <row r="2" spans="1:7" ht="65" customHeight="1">
      <c r="A2" s="2" t="s">
        <v>607</v>
      </c>
      <c r="B2" s="2" t="s">
        <v>608</v>
      </c>
      <c r="C2" s="2" t="s">
        <v>609</v>
      </c>
      <c r="D2" s="2">
        <f>'练习输入'!B2*'练习输入'!C2</f>
        <v>0</v>
      </c>
      <c r="E2" s="4">
        <f>'练习输入'!B2*'练习输入'!C2</f>
        <v>26.0</v>
      </c>
      <c r="F2" s="4">
        <v>26</v>
      </c>
      <c r="G2" s="3" t="str">
        <f>IF(ABS(E2-F2)&lt;0.00001,"通过","核对")</f>
        <v>通过</v>
      </c>
    </row>
    <row r="3" spans="1:7" ht="65" customHeight="1">
      <c r="A3" s="2" t="s">
        <v>611</v>
      </c>
      <c r="B3" s="2" t="s">
        <v>612</v>
      </c>
      <c r="C3" s="2" t="s">
        <v>613</v>
      </c>
      <c r="D3" s="2">
        <f>'练习输入'!B2*'练习输入'!C2-'练习输入'!D2</f>
        <v>0</v>
      </c>
      <c r="E3" s="4">
        <f>'练习输入'!B2*'练习输入'!C2-'练习输入'!D2</f>
        <v>24.7</v>
      </c>
      <c r="F3" s="4">
        <v>24.7</v>
      </c>
      <c r="G3" s="3" t="str">
        <f>IF(ABS(E3-F3)&lt;0.00001,"通过","核对")</f>
        <v>通过</v>
      </c>
    </row>
    <row r="4" spans="1:7" ht="65" customHeight="1">
      <c r="A4" s="2" t="s">
        <v>614</v>
      </c>
      <c r="B4" s="2" t="s">
        <v>57</v>
      </c>
      <c r="C4" s="2" t="s">
        <v>615</v>
      </c>
      <c r="D4" s="2">
        <f>('练习输入'!B2*'练习输入'!C2-'练习输入'!D2)-'练习输入'!B2*'练习输入'!E2-('练习输入'!B2*'练习输入'!C2-'练习输入'!D2)*'练习输入'!F2-'练习输入'!G2</f>
        <v>0</v>
      </c>
      <c r="E4" s="4">
        <f>('练习输入'!B2*'练习输入'!C2-'练习输入'!D2)-'练习输入'!B2*'练习输入'!E2-('练习输入'!B2*'练习输入'!C2-'练习输入'!D2)*'练习输入'!F2-'练习输入'!G2</f>
        <v>-1.7620000000000013</v>
      </c>
      <c r="F4" s="4">
        <v>-1.762000000000001</v>
      </c>
      <c r="G4" s="3" t="str">
        <f>IF(ABS(E4-F4)&lt;0.00001,"通过","核对")</f>
        <v>通过</v>
      </c>
    </row>
    <row r="5" spans="1:7" ht="65" customHeight="1">
      <c r="A5" s="2" t="s">
        <v>616</v>
      </c>
      <c r="B5" s="2" t="s">
        <v>617</v>
      </c>
      <c r="C5" s="2" t="s">
        <v>618</v>
      </c>
      <c r="D5" s="2">
        <f>IFERROR(('练习输入'!B2*'练习输入'!C2-'练习输入'!D2-'练习输入'!B2*'练习输入'!E2)/('练习输入'!B2*'练习输入'!C2-'练习输入'!D2),0)</f>
        <v>0</v>
      </c>
      <c r="E5" s="4">
        <f>IFERROR(('练习输入'!B2*'练习输入'!C2-'练习输入'!D2-'练习输入'!B2*'练习输入'!E2)/('练习输入'!B2*'练习输入'!C2-'练习输入'!D2),0)</f>
        <v>0.2518218623481781</v>
      </c>
      <c r="F5" s="4">
        <v>0.2518218623481781</v>
      </c>
      <c r="G5" s="3" t="str">
        <f>IF(ABS(E5-F5)&lt;0.00001,"通过","核对")</f>
        <v>通过</v>
      </c>
    </row>
    <row r="6" spans="1:7" ht="65" customHeight="1">
      <c r="A6" s="2" t="s">
        <v>619</v>
      </c>
      <c r="B6" s="2" t="s">
        <v>620</v>
      </c>
      <c r="C6" s="2" t="s">
        <v>621</v>
      </c>
      <c r="D6" s="2">
        <f>('练习输入'!B3*'练习输入'!C3-'练习输入'!D3)*'练习输入'!$F$2</f>
        <v>0</v>
      </c>
      <c r="E6" s="4">
        <f>('练习输入'!B3*'练习输入'!C3-'练习输入'!D3)*'练习输入'!$F$2</f>
        <v>4.56</v>
      </c>
      <c r="F6" s="4">
        <v>4.56</v>
      </c>
      <c r="G6" s="3" t="str">
        <f>IF(ABS(E6-F6)&lt;0.00001,"通过","核对")</f>
        <v>通过</v>
      </c>
    </row>
    <row r="7" spans="1:7" ht="65" customHeight="1">
      <c r="A7" s="2" t="s">
        <v>622</v>
      </c>
      <c r="B7" s="2" t="s">
        <v>623</v>
      </c>
      <c r="C7" s="2" t="s">
        <v>624</v>
      </c>
      <c r="D7" s="2">
        <f>IF('练习输入'!L2&lt;'练习输入'!M2*'练习输入'!N2+'练习输入'!O2,"需评估补货","暂不补货")</f>
        <v>0</v>
      </c>
      <c r="E7" s="3" t="str">
        <f>IF('练习输入'!L2&lt;'练习输入'!M2*'练习输入'!N2+'练习输入'!O2,"需评估补货","暂不补货")</f>
        <v>需评估补货</v>
      </c>
      <c r="F7" s="3" t="s">
        <v>703</v>
      </c>
      <c r="G7" s="3" t="str">
        <f>IF(E7=F7,"通过","核对")</f>
        <v>通过</v>
      </c>
    </row>
    <row r="8" spans="1:7" ht="65" customHeight="1">
      <c r="A8" s="2" t="s">
        <v>625</v>
      </c>
      <c r="B8" s="2" t="s">
        <v>626</v>
      </c>
      <c r="C8" s="2" t="s">
        <v>627</v>
      </c>
      <c r="D8" s="2">
        <f>IFERROR('练习输入'!K2/'练习输入'!J2,0)</f>
        <v>0</v>
      </c>
      <c r="E8" s="4">
        <f>IFERROR('练习输入'!K2/'练习输入'!J2,0)</f>
        <v>4</v>
      </c>
      <c r="F8" s="4">
        <v>4</v>
      </c>
      <c r="G8" s="3" t="str">
        <f>IF(ABS(E8-F8)&lt;0.00001,"通过","核对")</f>
        <v>通过</v>
      </c>
    </row>
    <row r="9" spans="1:7" ht="65" customHeight="1">
      <c r="A9" s="2" t="s">
        <v>628</v>
      </c>
      <c r="B9" s="2" t="s">
        <v>629</v>
      </c>
      <c r="C9" s="2" t="s">
        <v>630</v>
      </c>
      <c r="D9" s="2">
        <f>SUMIF('订单财务'!C2:C199,"CN",'订单财务'!D2:D199)</f>
        <v>0</v>
      </c>
      <c r="E9" s="4">
        <f>SUMIF('订单财务'!C2:C199,"CN",'订单财务'!D2:D199)</f>
        <v>46324.45</v>
      </c>
      <c r="F9" s="4">
        <v>46324.45</v>
      </c>
      <c r="G9" s="3" t="str">
        <f>IF(ABS(E9-F9)&lt;0.00001,"通过","核对")</f>
        <v>通过</v>
      </c>
    </row>
    <row r="10" spans="1:7" ht="65" customHeight="1">
      <c r="A10" s="2" t="s">
        <v>631</v>
      </c>
      <c r="B10" s="2" t="s">
        <v>632</v>
      </c>
      <c r="C10" s="2" t="s">
        <v>633</v>
      </c>
      <c r="D10" s="2">
        <f>SUMIFS('订单财务'!D2:D199,'订单财务'!C2:C199,"AMZ",'订单财务'!B2:B199,"&gt;="&amp;DATE(2026,9,1))</f>
        <v>0</v>
      </c>
      <c r="E10" s="4">
        <f>SUMIFS('订单财务'!D2:D199,'订单财务'!C2:C199,"AMZ",'订单财务'!B2:B199,"&gt;="&amp;DATE(2026,9,1))</f>
        <v>21364.41</v>
      </c>
      <c r="F10" s="4">
        <v>21364.41</v>
      </c>
      <c r="G10" s="3" t="str">
        <f>IF(ABS(E10-F10)&lt;0.00001,"通过","核对")</f>
        <v>通过</v>
      </c>
    </row>
    <row r="11" spans="1:7" ht="65" customHeight="1">
      <c r="A11" s="2" t="s">
        <v>634</v>
      </c>
      <c r="B11" s="2" t="s">
        <v>635</v>
      </c>
      <c r="C11" s="2" t="s">
        <v>636</v>
      </c>
      <c r="D11" s="2">
        <f>COUNTIF('原始订单'!D2:D241,"cancelled")</f>
        <v>0</v>
      </c>
      <c r="E11" s="4">
        <f>COUNTIF('原始订单'!D2:D241,"cancelled")</f>
        <v>26</v>
      </c>
      <c r="F11" s="4">
        <v>26</v>
      </c>
      <c r="G11" s="3" t="str">
        <f>IF(ABS(E11-F11)&lt;0.00001,"通过","核对")</f>
        <v>通过</v>
      </c>
    </row>
    <row r="12" spans="1:7" ht="65" customHeight="1">
      <c r="A12" s="2" t="s">
        <v>637</v>
      </c>
      <c r="B12" s="2" t="s">
        <v>638</v>
      </c>
      <c r="C12" s="2" t="s">
        <v>639</v>
      </c>
      <c r="D12" s="2">
        <f>COUNTIFS('原始订单'!C2:C241,"CN",'原始订单'!D2:D241,"completed")</f>
        <v>0</v>
      </c>
      <c r="E12" s="4">
        <f>COUNTIFS('原始订单'!C2:C241,"CN",'原始订单'!D2:D241,"completed")</f>
        <v>30</v>
      </c>
      <c r="F12" s="4">
        <v>30</v>
      </c>
      <c r="G12" s="3" t="str">
        <f>IF(ABS(E12-F12)&lt;0.00001,"通过","核对")</f>
        <v>通过</v>
      </c>
    </row>
    <row r="13" spans="1:7" ht="65" customHeight="1">
      <c r="A13" s="2" t="s">
        <v>640</v>
      </c>
      <c r="B13" s="2" t="s">
        <v>641</v>
      </c>
      <c r="C13" s="2" t="s">
        <v>642</v>
      </c>
      <c r="D13" s="2" cm="1">
        <f t="array" ref="D13">_xlfn.XLOOKUP('练习输入'!A2,'商品成本'!A2:A49,'商品成本'!D2:D49,"待核对")</f>
        <v>0</v>
      </c>
      <c r="E13" s="4" cm="1">
        <f t="array" ref="E13">_xlfn.XLOOKUP('练习输入'!A2,'商品成本'!A2:A49,'商品成本'!D2:D49,"待核对")</f>
        <v>9.24</v>
      </c>
      <c r="F13" s="4">
        <v>9.24</v>
      </c>
      <c r="G13" s="3" t="str">
        <f>IF(ABS(E13-F13)&lt;0.00001,"通过","核对")</f>
        <v>通过</v>
      </c>
    </row>
    <row r="14" spans="1:7" ht="65" customHeight="1">
      <c r="A14" s="2" t="s">
        <v>643</v>
      </c>
      <c r="B14" s="2" t="s">
        <v>644</v>
      </c>
      <c r="C14" s="2" t="s">
        <v>645</v>
      </c>
      <c r="D14" s="2">
        <f>VLOOKUP('练习输入'!A2,'商品成本'!A2:E49,4,FALSE)</f>
        <v>0</v>
      </c>
      <c r="E14" s="4">
        <f>VLOOKUP('练习输入'!A2,'商品成本'!A2:E49,4,FALSE)</f>
        <v>9.24</v>
      </c>
      <c r="F14" s="4">
        <v>9.24</v>
      </c>
      <c r="G14" s="3" t="str">
        <f>IF(ABS(E14-F14)&lt;0.00001,"通过","核对")</f>
        <v>通过</v>
      </c>
    </row>
    <row r="15" spans="1:7" ht="65" customHeight="1">
      <c r="A15" s="2" t="s">
        <v>646</v>
      </c>
      <c r="B15" s="2" t="s">
        <v>647</v>
      </c>
      <c r="C15" s="2" t="s">
        <v>648</v>
      </c>
      <c r="D15" s="2">
        <f>COUNTIF('原始导入'!B2:B6,"BIZ01")</f>
        <v>0</v>
      </c>
      <c r="E15" s="4">
        <f>COUNTIF('原始导入'!B2:B6,"BIZ01")</f>
        <v>2</v>
      </c>
      <c r="F15" s="4">
        <v>2</v>
      </c>
      <c r="G15" s="3" t="str">
        <f>IF(ABS(E15-F15)&lt;0.00001,"通过","核对")</f>
        <v>通过</v>
      </c>
    </row>
    <row r="16" spans="1:7" ht="65" customHeight="1">
      <c r="A16" s="2" t="s">
        <v>649</v>
      </c>
      <c r="B16" s="2" t="s">
        <v>650</v>
      </c>
      <c r="C16" s="2" t="s">
        <v>651</v>
      </c>
      <c r="D16" s="2">
        <f>TRIM('练习输入'!R2)</f>
        <v>0</v>
      </c>
      <c r="E16" s="3" t="str">
        <f>TRIM('练习输入'!R2)</f>
        <v>SKU001</v>
      </c>
      <c r="F16" s="3" t="s">
        <v>31</v>
      </c>
      <c r="G16" s="3" t="str">
        <f>IF(E16=F16,"通过","核对")</f>
        <v>通过</v>
      </c>
    </row>
    <row r="17" spans="1:7" ht="65" customHeight="1">
      <c r="A17" s="2" t="s">
        <v>652</v>
      </c>
      <c r="B17" s="2" t="s">
        <v>653</v>
      </c>
      <c r="C17" s="2" t="s">
        <v>654</v>
      </c>
      <c r="D17" s="2">
        <f>TEXT(DATEVALUE('练习输入'!S2),"yyyy-mm")</f>
        <v>0</v>
      </c>
      <c r="E17" s="3" t="str">
        <f>TEXT(DATEVALUE('练习输入'!S2),"yyyy-mm")</f>
        <v>2026-09</v>
      </c>
      <c r="F17" s="3" t="s">
        <v>704</v>
      </c>
      <c r="G17" s="3" t="str">
        <f>IF(E17=F17,"通过","核对")</f>
        <v>通过</v>
      </c>
    </row>
    <row r="18" spans="1:7" ht="65" customHeight="1">
      <c r="A18" s="2" t="s">
        <v>655</v>
      </c>
      <c r="B18" s="2" t="s">
        <v>656</v>
      </c>
      <c r="C18" s="2" t="s">
        <v>657</v>
      </c>
      <c r="D18" s="2">
        <f>IF('客户分析'!B2&lt;=30,"近期","较久")</f>
        <v>0</v>
      </c>
      <c r="E18" s="3" t="str">
        <f>IF('客户分析'!B2&lt;=30,"近期","较久")</f>
        <v>较久</v>
      </c>
      <c r="F18" s="3" t="s">
        <v>705</v>
      </c>
      <c r="G18" s="3" t="str">
        <f>IF(E18=F18,"通过","核对")</f>
        <v>通过</v>
      </c>
    </row>
    <row r="19" spans="1:7" ht="65" customHeight="1">
      <c r="A19" s="2" t="s">
        <v>658</v>
      </c>
      <c r="B19" s="2" t="s">
        <v>659</v>
      </c>
      <c r="C19" s="2" t="s">
        <v>660</v>
      </c>
      <c r="D19" s="2">
        <f>SUM('广告日报'!D2:D181)/SUM('广告日报'!C2:C181)</f>
        <v>0</v>
      </c>
      <c r="E19" s="4">
        <f>SUM('广告日报'!D2:D181)/SUM('广告日报'!C2:C181)</f>
        <v>0.028162222703732073</v>
      </c>
      <c r="F19" s="4">
        <v>0.02816222270373207</v>
      </c>
      <c r="G19" s="3" t="str">
        <f>IF(ABS(E19-F19)&lt;0.00001,"通过","核对")</f>
        <v>通过</v>
      </c>
    </row>
    <row r="20" spans="1:7" ht="65" customHeight="1">
      <c r="A20" s="2" t="s">
        <v>661</v>
      </c>
      <c r="B20" s="2" t="s">
        <v>662</v>
      </c>
      <c r="C20" s="2" t="s">
        <v>663</v>
      </c>
      <c r="D20" s="2">
        <f>SUM('订单财务'!L2:L199)-SUM('订单财务'!M2:M199)</f>
        <v>0</v>
      </c>
      <c r="E20" s="4">
        <f>SUM('订单财务'!L2:L199)-SUM('订单财务'!M2:M199)</f>
        <v>186961.63</v>
      </c>
      <c r="F20" s="4">
        <v>186961.63</v>
      </c>
      <c r="G20" s="3" t="str">
        <f>IF(ABS(E20-F20)&lt;0.00001,"通过","核对")</f>
        <v>通过</v>
      </c>
    </row>
    <row r="21" spans="1:7" ht="65" customHeight="1">
      <c r="A21" s="2" t="s">
        <v>664</v>
      </c>
      <c r="B21" s="2" t="s">
        <v>665</v>
      </c>
      <c r="C21" s="2" t="s">
        <v>666</v>
      </c>
      <c r="D21" s="2">
        <f>SUM('广告日报'!E2:E181)-12000</f>
        <v>0</v>
      </c>
      <c r="E21" s="4">
        <f>SUM('广告日报'!E2:E181)-12000</f>
        <v>-1100.2199999999993</v>
      </c>
      <c r="F21" s="4">
        <v>-1100.219999999999</v>
      </c>
      <c r="G21" s="3" t="str">
        <f>IF(ABS(E21-F21)&lt;0.00001,"通过","核对")</f>
        <v>通过</v>
      </c>
    </row>
    <row r="22" spans="1:7" ht="65" customHeight="1">
      <c r="A22" s="2" t="s">
        <v>667</v>
      </c>
      <c r="B22" s="2" t="s">
        <v>668</v>
      </c>
      <c r="C22" s="2" t="s">
        <v>669</v>
      </c>
      <c r="D22" s="2">
        <f>MAX(0,CEILING(('练习输入'!M2*'练习输入'!N2+'练习输入'!O2-'练习输入'!L2-'练习输入'!Q2)/'练习输入'!P2,1)*'练习输入'!P2)</f>
        <v>0</v>
      </c>
      <c r="E22" s="4">
        <f>MAX(0,CEILING(('练习输入'!M2*'练习输入'!N2+'练习输入'!O2-'练习输入'!L2-'练习输入'!Q2)/'练习输入'!P2,1)*'练习输入'!P2)</f>
        <v>24</v>
      </c>
      <c r="F22" s="4">
        <v>24</v>
      </c>
      <c r="G22" s="3" t="str">
        <f>IF(ABS(E22-F22)&lt;0.00001,"通过","核对")</f>
        <v>通过</v>
      </c>
    </row>
    <row r="23" spans="1:7" ht="65" customHeight="1">
      <c r="A23" s="2" t="s">
        <v>670</v>
      </c>
      <c r="B23" s="2" t="s">
        <v>671</v>
      </c>
      <c r="C23" s="2" t="s">
        <v>672</v>
      </c>
      <c r="D23" s="2">
        <f>100000+SUM('现金流水'!C2:C673)</f>
        <v>0</v>
      </c>
      <c r="E23" s="4">
        <f>100000+SUM('现金流水'!C2:C673)</f>
        <v>201503.84999999998</v>
      </c>
      <c r="F23" s="4">
        <v>201503.85</v>
      </c>
      <c r="G23" s="3" t="str">
        <f>IF(ABS(E23-F23)&lt;0.00001,"通过","核对")</f>
        <v>通过</v>
      </c>
    </row>
    <row r="24" spans="1:7" ht="65" customHeight="1">
      <c r="A24" s="2" t="s">
        <v>673</v>
      </c>
      <c r="B24" s="2" t="s">
        <v>674</v>
      </c>
      <c r="C24" s="2" t="s">
        <v>675</v>
      </c>
      <c r="D24" s="2">
        <f>COUNTIF('客户分析'!E2:E61,"&lt;="&amp;DATE(2026,8,31))</f>
        <v>0</v>
      </c>
      <c r="E24" s="4">
        <f>COUNTIF('客户分析'!E2:E61,"&lt;="&amp;DATE(2026,8,31))</f>
        <v>60</v>
      </c>
      <c r="F24" s="4">
        <v>60</v>
      </c>
      <c r="G24" s="3" t="str">
        <f>IF(ABS(E24-F24)&lt;0.00001,"通过","核对")</f>
        <v>通过</v>
      </c>
    </row>
    <row r="25" spans="1:7" ht="65" customHeight="1">
      <c r="A25" s="2" t="s">
        <v>676</v>
      </c>
      <c r="B25" s="2" t="s">
        <v>677</v>
      </c>
      <c r="C25" s="2" t="s">
        <v>678</v>
      </c>
      <c r="D25" s="2">
        <f>SUMIFS('订单财务'!J2:J199,'订单财务'!C2:C199,"CN",'订单财务'!B2:B199,"&gt;="&amp;DATE(2026,9,1))</f>
        <v>0</v>
      </c>
      <c r="E25" s="4">
        <f>SUMIFS('订单财务'!J2:J199,'订单财务'!C2:C199,"CN",'订单财务'!B2:B199,"&gt;="&amp;DATE(2026,9,1))</f>
        <v>1849.55</v>
      </c>
      <c r="F25" s="4">
        <v>1849.55</v>
      </c>
      <c r="G25" s="3" t="str">
        <f>IF(ABS(E25-F25)&lt;0.00001,"通过","核对")</f>
        <v>通过</v>
      </c>
    </row>
    <row r="26" spans="1:7" ht="65" customHeight="1">
      <c r="A26" s="2" t="s">
        <v>679</v>
      </c>
      <c r="B26" s="2" t="s">
        <v>680</v>
      </c>
      <c r="C26" s="2" t="s">
        <v>681</v>
      </c>
      <c r="D26" s="2" t="s">
        <v>706</v>
      </c>
      <c r="E26" s="2" t="s">
        <v>707</v>
      </c>
      <c r="F26" s="2" t="s">
        <v>708</v>
      </c>
      <c r="G26" s="2" t="s">
        <v>709</v>
      </c>
    </row>
    <row r="27" spans="1:7" ht="65" customHeight="1">
      <c r="A27" s="2" t="s">
        <v>683</v>
      </c>
      <c r="B27" s="2" t="s">
        <v>684</v>
      </c>
      <c r="C27" s="2" t="s">
        <v>685</v>
      </c>
      <c r="D27" s="2" t="s">
        <v>710</v>
      </c>
      <c r="E27" s="2" t="s">
        <v>707</v>
      </c>
      <c r="F27" s="2" t="s">
        <v>708</v>
      </c>
      <c r="G27" s="2" t="s">
        <v>709</v>
      </c>
    </row>
    <row r="28" spans="1:7" ht="65" customHeight="1">
      <c r="A28" s="2" t="s">
        <v>686</v>
      </c>
      <c r="B28" s="2" t="s">
        <v>687</v>
      </c>
      <c r="C28" s="2" t="s">
        <v>688</v>
      </c>
      <c r="D28" s="2" t="s">
        <v>711</v>
      </c>
      <c r="E28" s="2" t="s">
        <v>707</v>
      </c>
      <c r="F28" s="2" t="s">
        <v>708</v>
      </c>
      <c r="G28" s="2" t="s">
        <v>709</v>
      </c>
    </row>
    <row r="29" spans="1:7" ht="65" customHeight="1">
      <c r="A29" s="2" t="s">
        <v>689</v>
      </c>
      <c r="B29" s="2" t="s">
        <v>690</v>
      </c>
      <c r="C29" s="2" t="s">
        <v>691</v>
      </c>
      <c r="D29" s="2" t="s">
        <v>712</v>
      </c>
      <c r="E29" s="2" t="s">
        <v>707</v>
      </c>
      <c r="F29" s="2" t="s">
        <v>708</v>
      </c>
      <c r="G29" s="2" t="s">
        <v>709</v>
      </c>
    </row>
    <row r="30" spans="1:7" ht="65" customHeight="1">
      <c r="A30" s="2" t="s">
        <v>692</v>
      </c>
      <c r="B30" s="2" t="s">
        <v>693</v>
      </c>
      <c r="C30" s="2" t="s">
        <v>694</v>
      </c>
      <c r="D30" s="2" t="s">
        <v>713</v>
      </c>
      <c r="E30" s="2" t="s">
        <v>707</v>
      </c>
      <c r="F30" s="2" t="s">
        <v>708</v>
      </c>
      <c r="G30" s="2" t="s">
        <v>709</v>
      </c>
    </row>
    <row r="31" spans="1:7" ht="65" customHeight="1">
      <c r="A31" s="2" t="s">
        <v>695</v>
      </c>
      <c r="B31" s="2" t="s">
        <v>696</v>
      </c>
      <c r="C31" s="2" t="s">
        <v>697</v>
      </c>
      <c r="D31" s="2" t="s">
        <v>714</v>
      </c>
      <c r="E31" s="2" t="s">
        <v>707</v>
      </c>
      <c r="F31" s="2" t="s">
        <v>708</v>
      </c>
      <c r="G31" s="2" t="s">
        <v>709</v>
      </c>
    </row>
  </sheetData>
  <autoFilter ref="A1:G31"/>
  <pageMargins left="0.7" right="0.7" top="0.75" bottom="0.75" header="0.3" footer="0.3"/>
  <pageSetup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</vt:i4>
      </vt:variant>
    </vt:vector>
  </HeadingPairs>
  <TitlesOfParts>
    <vt:vector size="12" baseType="lpstr">
      <vt:lpstr>使用说明</vt:lpstr>
      <vt:lpstr>练习输入</vt:lpstr>
      <vt:lpstr>订单财务</vt:lpstr>
      <vt:lpstr>原始订单</vt:lpstr>
      <vt:lpstr>商品成本</vt:lpstr>
      <vt:lpstr>客户分析</vt:lpstr>
      <vt:lpstr>广告日报</vt:lpstr>
      <vt:lpstr>现金流水</vt:lpstr>
      <vt:lpstr>原始导入</vt:lpstr>
      <vt:lpstr>任务</vt:lpstr>
      <vt:lpstr>参考答案</vt:lpstr>
      <vt:lpstr>参考答案!Print_Titles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2026-10-16T20:03:45Z</dcterms:created>
  <dcterms:modified xsi:type="dcterms:W3CDTF">2026-10-16T20:03:45Z</dcterms:modified>
</cp:coreProperties>
</file>